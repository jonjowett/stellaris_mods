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8" windowWidth="18210" windowHeight="7433"/>
  </bookViews>
  <sheets>
    <sheet name="Main" sheetId="1" r:id="rId1"/>
    <sheet name="CodeGen" sheetId="4" r:id="rId2"/>
  </sheets>
  <functionGroups builtInGroupCount="17"/>
  <definedNames>
    <definedName name="base_cost_single_col">CodeGen!$A$3:$A$501</definedName>
    <definedName name="base_costs">Main!$E$5:$H$32</definedName>
  </definedNames>
  <calcPr calcId="145621"/>
</workbook>
</file>

<file path=xl/calcChain.xml><?xml version="1.0" encoding="utf-8"?>
<calcChain xmlns="http://schemas.openxmlformats.org/spreadsheetml/2006/main">
  <c r="M3" i="1" l="1"/>
  <c r="C70" i="4"/>
  <c r="E70" i="4" s="1"/>
  <c r="C69" i="4"/>
  <c r="E69" i="4" s="1"/>
  <c r="C68" i="4"/>
  <c r="E68" i="4" s="1"/>
  <c r="C67" i="4"/>
  <c r="E67" i="4" s="1"/>
  <c r="C66" i="4"/>
  <c r="E66" i="4" s="1"/>
  <c r="C65" i="4"/>
  <c r="E65" i="4" s="1"/>
  <c r="C64" i="4"/>
  <c r="E64" i="4" s="1"/>
  <c r="C63" i="4"/>
  <c r="E63" i="4" s="1"/>
  <c r="C62" i="4"/>
  <c r="E62" i="4" s="1"/>
  <c r="C61" i="4"/>
  <c r="E61" i="4" s="1"/>
  <c r="C60" i="4"/>
  <c r="E60" i="4" s="1"/>
  <c r="C59" i="4"/>
  <c r="E59" i="4" s="1"/>
  <c r="C58" i="4"/>
  <c r="E58" i="4" s="1"/>
  <c r="C57" i="4"/>
  <c r="E57" i="4" s="1"/>
  <c r="C56" i="4"/>
  <c r="E56" i="4" s="1"/>
  <c r="C55" i="4"/>
  <c r="E55" i="4" s="1"/>
  <c r="C54" i="4"/>
  <c r="E54" i="4" s="1"/>
  <c r="C53" i="4"/>
  <c r="E53" i="4" s="1"/>
  <c r="C52" i="4"/>
  <c r="E52" i="4" s="1"/>
  <c r="C51" i="4"/>
  <c r="E51" i="4" s="1"/>
  <c r="C50" i="4"/>
  <c r="E50" i="4" s="1"/>
  <c r="C49" i="4"/>
  <c r="E49" i="4" s="1"/>
  <c r="C48" i="4"/>
  <c r="E48" i="4" s="1"/>
  <c r="C47" i="4"/>
  <c r="E47" i="4" s="1"/>
  <c r="C46" i="4"/>
  <c r="E46" i="4" s="1"/>
  <c r="C45" i="4"/>
  <c r="E45" i="4" s="1"/>
  <c r="C44" i="4"/>
  <c r="E44" i="4" s="1"/>
  <c r="C43" i="4"/>
  <c r="E43" i="4" s="1"/>
  <c r="C42" i="4"/>
  <c r="E42" i="4" s="1"/>
  <c r="C41" i="4"/>
  <c r="E41" i="4" s="1"/>
  <c r="C40" i="4"/>
  <c r="E40" i="4" s="1"/>
  <c r="C39" i="4"/>
  <c r="E39" i="4" s="1"/>
  <c r="C38" i="4"/>
  <c r="E38" i="4" s="1"/>
  <c r="C37" i="4"/>
  <c r="E37" i="4" s="1"/>
  <c r="C36" i="4"/>
  <c r="E36" i="4" s="1"/>
  <c r="C35" i="4"/>
  <c r="E35" i="4" s="1"/>
  <c r="C34" i="4"/>
  <c r="E34" i="4" s="1"/>
  <c r="C33" i="4"/>
  <c r="E33" i="4" s="1"/>
  <c r="C32" i="4"/>
  <c r="E32" i="4" s="1"/>
  <c r="C31" i="4"/>
  <c r="E31" i="4" s="1"/>
  <c r="C30" i="4"/>
  <c r="E30" i="4" s="1"/>
  <c r="C29" i="4"/>
  <c r="E29" i="4" s="1"/>
  <c r="C28" i="4"/>
  <c r="E28" i="4" s="1"/>
  <c r="C27" i="4"/>
  <c r="E27" i="4" s="1"/>
  <c r="C26" i="4"/>
  <c r="E26" i="4" s="1"/>
  <c r="C25" i="4"/>
  <c r="E25" i="4" s="1"/>
  <c r="C24" i="4"/>
  <c r="E24" i="4" s="1"/>
  <c r="C23" i="4"/>
  <c r="E23" i="4" s="1"/>
  <c r="C22" i="4"/>
  <c r="E22" i="4" s="1"/>
  <c r="C21" i="4"/>
  <c r="E21" i="4" s="1"/>
  <c r="C20" i="4"/>
  <c r="E20" i="4" s="1"/>
  <c r="C19" i="4"/>
  <c r="E19" i="4" s="1"/>
  <c r="C18" i="4"/>
  <c r="E18" i="4" s="1"/>
  <c r="C17" i="4"/>
  <c r="E17" i="4" s="1"/>
  <c r="C16" i="4"/>
  <c r="E16" i="4" s="1"/>
  <c r="C15" i="4"/>
  <c r="E15" i="4" s="1"/>
  <c r="C14" i="4"/>
  <c r="E14" i="4" s="1"/>
  <c r="C13" i="4"/>
  <c r="E13" i="4" s="1"/>
  <c r="C12" i="4"/>
  <c r="E12" i="4" s="1"/>
  <c r="C11" i="4"/>
  <c r="E11" i="4" s="1"/>
  <c r="C10" i="4"/>
  <c r="E10" i="4" s="1"/>
  <c r="C9" i="4"/>
  <c r="E9" i="4" s="1"/>
  <c r="C8" i="4"/>
  <c r="E8" i="4" s="1"/>
  <c r="C7" i="4"/>
  <c r="E7" i="4" s="1"/>
  <c r="C6" i="4"/>
  <c r="E6" i="4" s="1"/>
  <c r="C5" i="4"/>
  <c r="E5" i="4" s="1"/>
  <c r="C4" i="4"/>
  <c r="E4" i="4" s="1"/>
  <c r="C3" i="4"/>
  <c r="F3" i="4" s="1"/>
  <c r="D6" i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B8" i="1"/>
  <c r="B7" i="1"/>
  <c r="C5" i="1"/>
  <c r="F2" i="4"/>
  <c r="E2" i="4"/>
  <c r="F51" i="4" l="1"/>
  <c r="F27" i="4"/>
  <c r="F66" i="4"/>
  <c r="F58" i="4"/>
  <c r="F50" i="4"/>
  <c r="F42" i="4"/>
  <c r="F34" i="4"/>
  <c r="F26" i="4"/>
  <c r="F18" i="4"/>
  <c r="F10" i="4"/>
  <c r="F59" i="4"/>
  <c r="F11" i="4"/>
  <c r="F65" i="4"/>
  <c r="F57" i="4"/>
  <c r="F49" i="4"/>
  <c r="F41" i="4"/>
  <c r="F33" i="4"/>
  <c r="F25" i="4"/>
  <c r="F17" i="4"/>
  <c r="F9" i="4"/>
  <c r="F64" i="4"/>
  <c r="F56" i="4"/>
  <c r="F48" i="4"/>
  <c r="F40" i="4"/>
  <c r="F32" i="4"/>
  <c r="F24" i="4"/>
  <c r="F16" i="4"/>
  <c r="F8" i="4"/>
  <c r="F63" i="4"/>
  <c r="F55" i="4"/>
  <c r="F47" i="4"/>
  <c r="F39" i="4"/>
  <c r="F31" i="4"/>
  <c r="F23" i="4"/>
  <c r="F15" i="4"/>
  <c r="F7" i="4"/>
  <c r="F70" i="4"/>
  <c r="F62" i="4"/>
  <c r="F54" i="4"/>
  <c r="F46" i="4"/>
  <c r="F38" i="4"/>
  <c r="F30" i="4"/>
  <c r="F22" i="4"/>
  <c r="F14" i="4"/>
  <c r="F6" i="4"/>
  <c r="B9" i="1"/>
  <c r="F69" i="4"/>
  <c r="F61" i="4"/>
  <c r="F53" i="4"/>
  <c r="F45" i="4"/>
  <c r="F37" i="4"/>
  <c r="F29" i="4"/>
  <c r="F21" i="4"/>
  <c r="F13" i="4"/>
  <c r="F5" i="4"/>
  <c r="F68" i="4"/>
  <c r="F60" i="4"/>
  <c r="F52" i="4"/>
  <c r="F44" i="4"/>
  <c r="F36" i="4"/>
  <c r="F28" i="4"/>
  <c r="F20" i="4"/>
  <c r="F12" i="4"/>
  <c r="F4" i="4"/>
  <c r="F67" i="4"/>
  <c r="F43" i="4"/>
  <c r="F35" i="4"/>
  <c r="F19" i="4"/>
  <c r="E3" i="4"/>
  <c r="E5" i="1" a="1"/>
  <c r="G32" i="1" s="1"/>
  <c r="Q32" i="1" s="1"/>
  <c r="C6" i="1"/>
  <c r="C7" i="1"/>
  <c r="X32" i="1" l="1"/>
  <c r="B10" i="1"/>
  <c r="W8" i="1"/>
  <c r="G7" i="1"/>
  <c r="Q7" i="1" s="1"/>
  <c r="H13" i="1"/>
  <c r="F8" i="1"/>
  <c r="P8" i="1" s="1"/>
  <c r="F10" i="1"/>
  <c r="E6" i="1"/>
  <c r="O6" i="1" s="1"/>
  <c r="H12" i="1"/>
  <c r="E15" i="1"/>
  <c r="F5" i="1"/>
  <c r="P5" i="1" s="1"/>
  <c r="H29" i="1"/>
  <c r="G18" i="1"/>
  <c r="E20" i="1"/>
  <c r="F19" i="1"/>
  <c r="E22" i="1"/>
  <c r="H14" i="1"/>
  <c r="G20" i="1"/>
  <c r="H17" i="1"/>
  <c r="E10" i="1"/>
  <c r="E26" i="1"/>
  <c r="F14" i="1"/>
  <c r="F30" i="1"/>
  <c r="H18" i="1"/>
  <c r="E5" i="1"/>
  <c r="O5" i="1" s="1"/>
  <c r="E21" i="1"/>
  <c r="F9" i="1"/>
  <c r="P9" i="1" s="1"/>
  <c r="F25" i="1"/>
  <c r="G8" i="1"/>
  <c r="Q8" i="1" s="1"/>
  <c r="G24" i="1"/>
  <c r="H28" i="1"/>
  <c r="H15" i="1"/>
  <c r="H30" i="1"/>
  <c r="E24" i="1"/>
  <c r="F28" i="1"/>
  <c r="E19" i="1"/>
  <c r="F23" i="1"/>
  <c r="G22" i="1"/>
  <c r="H19" i="1"/>
  <c r="H21" i="1"/>
  <c r="F16" i="1"/>
  <c r="H20" i="1"/>
  <c r="E23" i="1"/>
  <c r="F11" i="1"/>
  <c r="G10" i="1"/>
  <c r="G26" i="1"/>
  <c r="H16" i="1"/>
  <c r="F24" i="1"/>
  <c r="H31" i="1"/>
  <c r="E17" i="1"/>
  <c r="F12" i="1"/>
  <c r="F7" i="1"/>
  <c r="P7" i="1" s="1"/>
  <c r="E12" i="1"/>
  <c r="E28" i="1"/>
  <c r="F32" i="1"/>
  <c r="P32" i="1" s="1"/>
  <c r="E7" i="1"/>
  <c r="O7" i="1" s="1"/>
  <c r="F27" i="1"/>
  <c r="H7" i="1"/>
  <c r="R7" i="1" s="1"/>
  <c r="H23" i="1"/>
  <c r="E14" i="1"/>
  <c r="F18" i="1"/>
  <c r="H22" i="1"/>
  <c r="E9" i="1"/>
  <c r="O9" i="1" s="1"/>
  <c r="F13" i="1"/>
  <c r="F29" i="1"/>
  <c r="G28" i="1"/>
  <c r="H9" i="1"/>
  <c r="R9" i="1" s="1"/>
  <c r="H25" i="1"/>
  <c r="E16" i="1"/>
  <c r="E32" i="1"/>
  <c r="O32" i="1" s="1"/>
  <c r="F20" i="1"/>
  <c r="H8" i="1"/>
  <c r="R8" i="1" s="1"/>
  <c r="H24" i="1"/>
  <c r="E11" i="1"/>
  <c r="E27" i="1"/>
  <c r="F15" i="1"/>
  <c r="F31" i="1"/>
  <c r="G14" i="1"/>
  <c r="G30" i="1"/>
  <c r="E31" i="1"/>
  <c r="F26" i="1"/>
  <c r="F21" i="1"/>
  <c r="E8" i="1"/>
  <c r="H32" i="1"/>
  <c r="R32" i="1" s="1"/>
  <c r="G6" i="1"/>
  <c r="Q6" i="1" s="1"/>
  <c r="E30" i="1"/>
  <c r="H6" i="1"/>
  <c r="R6" i="1" s="1"/>
  <c r="E25" i="1"/>
  <c r="G12" i="1"/>
  <c r="H11" i="1"/>
  <c r="H27" i="1"/>
  <c r="E18" i="1"/>
  <c r="F6" i="1"/>
  <c r="P6" i="1" s="1"/>
  <c r="F22" i="1"/>
  <c r="H10" i="1"/>
  <c r="H26" i="1"/>
  <c r="E13" i="1"/>
  <c r="E29" i="1"/>
  <c r="F17" i="1"/>
  <c r="G5" i="1"/>
  <c r="Q5" i="1" s="1"/>
  <c r="G16" i="1"/>
  <c r="H5" i="1"/>
  <c r="R5" i="1" s="1"/>
  <c r="G23" i="1"/>
  <c r="G25" i="1"/>
  <c r="G11" i="1"/>
  <c r="G27" i="1"/>
  <c r="G13" i="1"/>
  <c r="G29" i="1"/>
  <c r="G9" i="1"/>
  <c r="Q9" i="1" s="1"/>
  <c r="G17" i="1"/>
  <c r="G15" i="1"/>
  <c r="G31" i="1"/>
  <c r="G19" i="1"/>
  <c r="G21" i="1"/>
  <c r="V8" i="1" l="1"/>
  <c r="O8" i="1"/>
  <c r="X8" i="1"/>
  <c r="V7" i="1"/>
  <c r="W32" i="1"/>
  <c r="Y8" i="1"/>
  <c r="V5" i="1"/>
  <c r="V6" i="1"/>
  <c r="Y5" i="1"/>
  <c r="V32" i="1"/>
  <c r="Y6" i="1"/>
  <c r="X6" i="1"/>
  <c r="X5" i="1"/>
  <c r="Y32" i="1"/>
  <c r="W7" i="1"/>
  <c r="X7" i="1"/>
  <c r="W5" i="1"/>
  <c r="W6" i="1"/>
  <c r="Y7" i="1"/>
  <c r="Y9" i="1"/>
  <c r="X9" i="1"/>
  <c r="W9" i="1"/>
  <c r="V9" i="1"/>
  <c r="C8" i="1"/>
  <c r="B11" i="1"/>
  <c r="Q10" i="1" s="1"/>
  <c r="P10" i="1" l="1"/>
  <c r="R10" i="1"/>
  <c r="O10" i="1"/>
  <c r="Y10" i="1"/>
  <c r="X10" i="1"/>
  <c r="W10" i="1"/>
  <c r="V10" i="1"/>
  <c r="C9" i="1"/>
  <c r="B12" i="1"/>
  <c r="R11" i="1" l="1"/>
  <c r="O11" i="1"/>
  <c r="Q11" i="1"/>
  <c r="P11" i="1"/>
  <c r="Y11" i="1"/>
  <c r="X11" i="1"/>
  <c r="W11" i="1"/>
  <c r="V11" i="1"/>
  <c r="C10" i="1"/>
  <c r="C11" i="1"/>
  <c r="B13" i="1"/>
  <c r="Q12" i="1" l="1"/>
  <c r="P12" i="1"/>
  <c r="O12" i="1"/>
  <c r="R12" i="1"/>
  <c r="Y12" i="1"/>
  <c r="X12" i="1"/>
  <c r="W12" i="1"/>
  <c r="V12" i="1"/>
  <c r="B14" i="1"/>
  <c r="C12" i="1"/>
  <c r="P13" i="1" l="1"/>
  <c r="R13" i="1"/>
  <c r="O13" i="1"/>
  <c r="Q13" i="1"/>
  <c r="Y13" i="1"/>
  <c r="X13" i="1"/>
  <c r="W13" i="1"/>
  <c r="V13" i="1"/>
  <c r="B15" i="1"/>
  <c r="C13" i="1"/>
  <c r="P14" i="1" l="1"/>
  <c r="Q14" i="1"/>
  <c r="R14" i="1"/>
  <c r="O14" i="1"/>
  <c r="Y14" i="1"/>
  <c r="X14" i="1"/>
  <c r="W14" i="1"/>
  <c r="V14" i="1"/>
  <c r="C14" i="1"/>
  <c r="B16" i="1"/>
  <c r="Q15" i="1" l="1"/>
  <c r="P15" i="1"/>
  <c r="R15" i="1"/>
  <c r="O15" i="1"/>
  <c r="Y15" i="1"/>
  <c r="X15" i="1"/>
  <c r="W15" i="1"/>
  <c r="V15" i="1"/>
  <c r="B17" i="1"/>
  <c r="C15" i="1"/>
  <c r="Q16" i="1" l="1"/>
  <c r="P16" i="1"/>
  <c r="O16" i="1"/>
  <c r="R16" i="1"/>
  <c r="Y16" i="1"/>
  <c r="X16" i="1"/>
  <c r="W16" i="1"/>
  <c r="V16" i="1"/>
  <c r="B18" i="1"/>
  <c r="C16" i="1"/>
  <c r="P17" i="1" l="1"/>
  <c r="O17" i="1"/>
  <c r="Q17" i="1"/>
  <c r="R17" i="1"/>
  <c r="Y17" i="1"/>
  <c r="X17" i="1"/>
  <c r="W17" i="1"/>
  <c r="V17" i="1"/>
  <c r="C17" i="1"/>
  <c r="B19" i="1"/>
  <c r="Q18" i="1" l="1"/>
  <c r="R18" i="1"/>
  <c r="P18" i="1"/>
  <c r="O18" i="1"/>
  <c r="Y18" i="1"/>
  <c r="X18" i="1"/>
  <c r="W18" i="1"/>
  <c r="V18" i="1"/>
  <c r="C18" i="1"/>
  <c r="B20" i="1"/>
  <c r="R19" i="1" l="1"/>
  <c r="O19" i="1"/>
  <c r="P19" i="1"/>
  <c r="Q19" i="1"/>
  <c r="Y19" i="1"/>
  <c r="X19" i="1"/>
  <c r="W19" i="1"/>
  <c r="V19" i="1"/>
  <c r="B21" i="1"/>
  <c r="C19" i="1"/>
  <c r="O20" i="1" l="1"/>
  <c r="R20" i="1"/>
  <c r="P20" i="1"/>
  <c r="Q20" i="1"/>
  <c r="Y20" i="1"/>
  <c r="X20" i="1"/>
  <c r="W20" i="1"/>
  <c r="V20" i="1"/>
  <c r="B22" i="1"/>
  <c r="C20" i="1"/>
  <c r="R21" i="1" l="1"/>
  <c r="O21" i="1"/>
  <c r="Q21" i="1"/>
  <c r="P21" i="1"/>
  <c r="Y21" i="1"/>
  <c r="X21" i="1"/>
  <c r="W21" i="1"/>
  <c r="V21" i="1"/>
  <c r="C21" i="1"/>
  <c r="B23" i="1"/>
  <c r="P22" i="1" l="1"/>
  <c r="R22" i="1"/>
  <c r="Q22" i="1"/>
  <c r="O22" i="1"/>
  <c r="Y22" i="1"/>
  <c r="X22" i="1"/>
  <c r="W22" i="1"/>
  <c r="V22" i="1"/>
  <c r="B24" i="1"/>
  <c r="C22" i="1"/>
  <c r="Q23" i="1" l="1"/>
  <c r="P23" i="1"/>
  <c r="R23" i="1"/>
  <c r="O23" i="1"/>
  <c r="Y23" i="1"/>
  <c r="X23" i="1"/>
  <c r="W23" i="1"/>
  <c r="V23" i="1"/>
  <c r="B25" i="1"/>
  <c r="C23" i="1"/>
  <c r="R24" i="1" l="1"/>
  <c r="P24" i="1"/>
  <c r="O24" i="1"/>
  <c r="Q24" i="1"/>
  <c r="Y24" i="1"/>
  <c r="X24" i="1"/>
  <c r="W24" i="1"/>
  <c r="V24" i="1"/>
  <c r="B26" i="1"/>
  <c r="C24" i="1"/>
  <c r="O25" i="1" l="1"/>
  <c r="Q25" i="1"/>
  <c r="R25" i="1"/>
  <c r="P25" i="1"/>
  <c r="Y25" i="1"/>
  <c r="X25" i="1"/>
  <c r="W25" i="1"/>
  <c r="V25" i="1"/>
  <c r="C25" i="1"/>
  <c r="B27" i="1"/>
  <c r="O26" i="1" l="1"/>
  <c r="Q26" i="1"/>
  <c r="R26" i="1"/>
  <c r="P26" i="1"/>
  <c r="Y26" i="1"/>
  <c r="X26" i="1"/>
  <c r="W26" i="1"/>
  <c r="V26" i="1"/>
  <c r="C26" i="1"/>
  <c r="B28" i="1"/>
  <c r="Q27" i="1" l="1"/>
  <c r="R27" i="1"/>
  <c r="O27" i="1"/>
  <c r="P27" i="1"/>
  <c r="Y27" i="1"/>
  <c r="X27" i="1"/>
  <c r="W27" i="1"/>
  <c r="V27" i="1"/>
  <c r="B29" i="1"/>
  <c r="C27" i="1"/>
  <c r="R28" i="1" l="1"/>
  <c r="Q28" i="1"/>
  <c r="O28" i="1"/>
  <c r="P28" i="1"/>
  <c r="Y28" i="1"/>
  <c r="X28" i="1"/>
  <c r="W28" i="1"/>
  <c r="V28" i="1"/>
  <c r="B30" i="1"/>
  <c r="C28" i="1"/>
  <c r="R29" i="1" l="1"/>
  <c r="P29" i="1"/>
  <c r="Q29" i="1"/>
  <c r="O29" i="1"/>
  <c r="Y29" i="1"/>
  <c r="X29" i="1"/>
  <c r="W29" i="1"/>
  <c r="V29" i="1"/>
  <c r="B31" i="1"/>
  <c r="C29" i="1"/>
  <c r="O30" i="1" l="1"/>
  <c r="P30" i="1"/>
  <c r="Q30" i="1"/>
  <c r="R30" i="1"/>
  <c r="Y30" i="1"/>
  <c r="X30" i="1"/>
  <c r="W30" i="1"/>
  <c r="V30" i="1"/>
  <c r="C30" i="1"/>
  <c r="K464" i="1"/>
  <c r="K490" i="1"/>
  <c r="K446" i="1"/>
  <c r="K496" i="1"/>
  <c r="K449" i="1"/>
  <c r="K433" i="1"/>
  <c r="K442" i="1"/>
  <c r="K425" i="1"/>
  <c r="K500" i="1"/>
  <c r="K431" i="1"/>
  <c r="K471" i="1"/>
  <c r="K450" i="1"/>
  <c r="B32" i="1"/>
  <c r="K489" i="1"/>
  <c r="K457" i="1"/>
  <c r="K503" i="1"/>
  <c r="K474" i="1"/>
  <c r="K440" i="1"/>
  <c r="K420" i="1"/>
  <c r="K423" i="1"/>
  <c r="K429" i="1"/>
  <c r="K486" i="1"/>
  <c r="K458" i="1"/>
  <c r="K470" i="1"/>
  <c r="K473" i="1"/>
  <c r="K419" i="1"/>
  <c r="K478" i="1"/>
  <c r="K434" i="1"/>
  <c r="K487" i="1"/>
  <c r="K436" i="1"/>
  <c r="K426" i="1"/>
  <c r="K497" i="1"/>
  <c r="K492" i="1"/>
  <c r="K422" i="1"/>
  <c r="K441" i="1"/>
  <c r="K461" i="1"/>
  <c r="K498" i="1"/>
  <c r="K454" i="1"/>
  <c r="K456" i="1"/>
  <c r="K421" i="1"/>
  <c r="K475" i="1"/>
  <c r="K451" i="1"/>
  <c r="K435" i="1"/>
  <c r="K424" i="1"/>
  <c r="K453" i="1"/>
  <c r="K418" i="1"/>
  <c r="K479" i="1"/>
  <c r="K482" i="1"/>
  <c r="K459" i="1"/>
  <c r="K485" i="1"/>
  <c r="K493" i="1"/>
  <c r="K447" i="1"/>
  <c r="K462" i="1"/>
  <c r="K467" i="1"/>
  <c r="K483" i="1"/>
  <c r="K481" i="1"/>
  <c r="K445" i="1"/>
  <c r="K444" i="1"/>
  <c r="K452" i="1"/>
  <c r="K477" i="1"/>
  <c r="K488" i="1"/>
  <c r="K463" i="1"/>
  <c r="K432" i="1"/>
  <c r="K480" i="1"/>
  <c r="K495" i="1"/>
  <c r="K491" i="1"/>
  <c r="K465" i="1"/>
  <c r="K427" i="1"/>
  <c r="K455" i="1"/>
  <c r="K466" i="1"/>
  <c r="K430" i="1"/>
  <c r="K502" i="1"/>
  <c r="K494" i="1"/>
  <c r="K501" i="1"/>
  <c r="K468" i="1"/>
  <c r="K472" i="1"/>
  <c r="K439" i="1"/>
  <c r="K428" i="1"/>
  <c r="K448" i="1"/>
  <c r="K443" i="1"/>
  <c r="K476" i="1"/>
  <c r="K460" i="1"/>
  <c r="K484" i="1"/>
  <c r="K438" i="1"/>
  <c r="K499" i="1"/>
  <c r="O31" i="1" l="1"/>
  <c r="R31" i="1"/>
  <c r="P31" i="1"/>
  <c r="Q31" i="1"/>
  <c r="K11" i="1"/>
  <c r="K47" i="1"/>
  <c r="K31" i="1"/>
  <c r="K26" i="1"/>
  <c r="K40" i="1"/>
  <c r="K67" i="1"/>
  <c r="K68" i="1"/>
  <c r="K51" i="1"/>
  <c r="K27" i="1"/>
  <c r="K55" i="1"/>
  <c r="K24" i="1"/>
  <c r="K37" i="1"/>
  <c r="K39" i="1"/>
  <c r="K54" i="1"/>
  <c r="K35" i="1"/>
  <c r="K34" i="1"/>
  <c r="K22" i="1"/>
  <c r="K65" i="1"/>
  <c r="K4" i="1"/>
  <c r="K5" i="1"/>
  <c r="K16" i="1"/>
  <c r="K69" i="1"/>
  <c r="K42" i="1"/>
  <c r="K53" i="1"/>
  <c r="K7" i="1"/>
  <c r="K66" i="1"/>
  <c r="K57" i="1"/>
  <c r="K28" i="1"/>
  <c r="K13" i="1"/>
  <c r="K9" i="1"/>
  <c r="K20" i="1"/>
  <c r="K45" i="1"/>
  <c r="K64" i="1"/>
  <c r="K25" i="1"/>
  <c r="K17" i="1"/>
  <c r="K43" i="1"/>
  <c r="K18" i="1"/>
  <c r="K21" i="1"/>
  <c r="K15" i="1"/>
  <c r="K41" i="1"/>
  <c r="K8" i="1"/>
  <c r="K6" i="1"/>
  <c r="K33" i="1"/>
  <c r="K32" i="1"/>
  <c r="K36" i="1"/>
  <c r="K12" i="1"/>
  <c r="K30" i="1"/>
  <c r="K61" i="1"/>
  <c r="K38" i="1"/>
  <c r="K49" i="1"/>
  <c r="K48" i="1"/>
  <c r="K10" i="1"/>
  <c r="K56" i="1"/>
  <c r="K46" i="1"/>
  <c r="K44" i="1"/>
  <c r="K52" i="1"/>
  <c r="K62" i="1"/>
  <c r="K63" i="1"/>
  <c r="K23" i="1"/>
  <c r="K14" i="1"/>
  <c r="K58" i="1"/>
  <c r="K59" i="1"/>
  <c r="K60" i="1"/>
  <c r="K29" i="1"/>
  <c r="K50" i="1"/>
  <c r="K19" i="1"/>
  <c r="K92" i="1"/>
  <c r="K81" i="1"/>
  <c r="K93" i="1"/>
  <c r="K85" i="1"/>
  <c r="K88" i="1"/>
  <c r="K87" i="1"/>
  <c r="K84" i="1"/>
  <c r="K90" i="1"/>
  <c r="K82" i="1"/>
  <c r="K89" i="1"/>
  <c r="K91" i="1"/>
  <c r="K86" i="1"/>
  <c r="K80" i="1"/>
  <c r="K83" i="1"/>
  <c r="K70" i="1"/>
  <c r="K76" i="1"/>
  <c r="K105" i="1"/>
  <c r="K172" i="1"/>
  <c r="K146" i="1"/>
  <c r="K202" i="1"/>
  <c r="K210" i="1"/>
  <c r="K196" i="1"/>
  <c r="K142" i="1"/>
  <c r="K125" i="1"/>
  <c r="K145" i="1"/>
  <c r="K186" i="1"/>
  <c r="K99" i="1"/>
  <c r="K137" i="1"/>
  <c r="K159" i="1"/>
  <c r="K207" i="1"/>
  <c r="K111" i="1"/>
  <c r="K171" i="1"/>
  <c r="K151" i="1"/>
  <c r="K96" i="1"/>
  <c r="K150" i="1"/>
  <c r="K77" i="1"/>
  <c r="K72" i="1"/>
  <c r="K122" i="1"/>
  <c r="K154" i="1"/>
  <c r="K98" i="1"/>
  <c r="K123" i="1"/>
  <c r="K113" i="1"/>
  <c r="K115" i="1"/>
  <c r="K206" i="1"/>
  <c r="K97" i="1"/>
  <c r="K173" i="1"/>
  <c r="K117" i="1"/>
  <c r="K192" i="1"/>
  <c r="K119" i="1"/>
  <c r="K100" i="1"/>
  <c r="K162" i="1"/>
  <c r="K138" i="1"/>
  <c r="K203" i="1"/>
  <c r="K130" i="1"/>
  <c r="K131" i="1"/>
  <c r="K158" i="1"/>
  <c r="K132" i="1"/>
  <c r="K198" i="1"/>
  <c r="K188" i="1"/>
  <c r="K161" i="1"/>
  <c r="K116" i="1"/>
  <c r="K170" i="1"/>
  <c r="K191" i="1"/>
  <c r="K127" i="1"/>
  <c r="K102" i="1"/>
  <c r="K187" i="1"/>
  <c r="K129" i="1"/>
  <c r="K204" i="1"/>
  <c r="K193" i="1"/>
  <c r="K114" i="1"/>
  <c r="K199" i="1"/>
  <c r="K189" i="1"/>
  <c r="K103" i="1"/>
  <c r="K184" i="1"/>
  <c r="K176" i="1"/>
  <c r="K71" i="1"/>
  <c r="K167" i="1"/>
  <c r="K136" i="1"/>
  <c r="K79" i="1"/>
  <c r="K75" i="1"/>
  <c r="K156" i="1"/>
  <c r="K124" i="1"/>
  <c r="K147" i="1"/>
  <c r="K201" i="1"/>
  <c r="K139" i="1"/>
  <c r="K121" i="1"/>
  <c r="K205" i="1"/>
  <c r="K141" i="1"/>
  <c r="K185" i="1"/>
  <c r="K94" i="1"/>
  <c r="K178" i="1"/>
  <c r="K200" i="1"/>
  <c r="K168" i="1"/>
  <c r="K140" i="1"/>
  <c r="K126" i="1"/>
  <c r="K163" i="1"/>
  <c r="K134" i="1"/>
  <c r="K164" i="1"/>
  <c r="K149" i="1"/>
  <c r="K144" i="1"/>
  <c r="K74" i="1"/>
  <c r="K209" i="1"/>
  <c r="K160" i="1"/>
  <c r="K208" i="1"/>
  <c r="K143" i="1"/>
  <c r="K157" i="1"/>
  <c r="K128" i="1"/>
  <c r="K95" i="1"/>
  <c r="K211" i="1"/>
  <c r="K181" i="1"/>
  <c r="K165" i="1"/>
  <c r="K197" i="1"/>
  <c r="K155" i="1"/>
  <c r="K104" i="1"/>
  <c r="K180" i="1"/>
  <c r="K212" i="1"/>
  <c r="K78" i="1"/>
  <c r="K213" i="1"/>
  <c r="K148" i="1"/>
  <c r="K112" i="1"/>
  <c r="K177" i="1"/>
  <c r="K110" i="1"/>
  <c r="K179" i="1"/>
  <c r="K182" i="1"/>
  <c r="K73" i="1"/>
  <c r="K175" i="1"/>
  <c r="K195" i="1"/>
  <c r="K190" i="1"/>
  <c r="K118" i="1"/>
  <c r="K109" i="1"/>
  <c r="K169" i="1"/>
  <c r="K153" i="1"/>
  <c r="K194" i="1"/>
  <c r="K108" i="1"/>
  <c r="K120" i="1"/>
  <c r="K174" i="1"/>
  <c r="K107" i="1"/>
  <c r="K183" i="1"/>
  <c r="K133" i="1"/>
  <c r="K166" i="1"/>
  <c r="K135" i="1"/>
  <c r="K106" i="1"/>
  <c r="K152" i="1"/>
  <c r="K101" i="1"/>
  <c r="K239" i="1"/>
  <c r="K256" i="1"/>
  <c r="K265" i="1"/>
  <c r="K255" i="1"/>
  <c r="K272" i="1"/>
  <c r="K248" i="1"/>
  <c r="K296" i="1"/>
  <c r="K269" i="1"/>
  <c r="K279" i="1"/>
  <c r="K285" i="1"/>
  <c r="K280" i="1"/>
  <c r="K277" i="1"/>
  <c r="K237" i="1"/>
  <c r="K295" i="1"/>
  <c r="K258" i="1"/>
  <c r="K262" i="1"/>
  <c r="K246" i="1"/>
  <c r="K250" i="1"/>
  <c r="K261" i="1"/>
  <c r="K271" i="1"/>
  <c r="K236" i="1"/>
  <c r="K288" i="1"/>
  <c r="K293" i="1"/>
  <c r="K273" i="1"/>
  <c r="K278" i="1"/>
  <c r="K275" i="1"/>
  <c r="K247" i="1"/>
  <c r="K294" i="1"/>
  <c r="K276" i="1"/>
  <c r="K251" i="1"/>
  <c r="K270" i="1"/>
  <c r="K292" i="1"/>
  <c r="K243" i="1"/>
  <c r="K267" i="1"/>
  <c r="K241" i="1"/>
  <c r="K281" i="1"/>
  <c r="K297" i="1"/>
  <c r="K266" i="1"/>
  <c r="K242" i="1"/>
  <c r="K259" i="1"/>
  <c r="K249" i="1"/>
  <c r="K253" i="1"/>
  <c r="K289" i="1"/>
  <c r="K252" i="1"/>
  <c r="K240" i="1"/>
  <c r="K264" i="1"/>
  <c r="K274" i="1"/>
  <c r="K244" i="1"/>
  <c r="K291" i="1"/>
  <c r="K238" i="1"/>
  <c r="K260" i="1"/>
  <c r="K257" i="1"/>
  <c r="K282" i="1"/>
  <c r="K283" i="1"/>
  <c r="K284" i="1"/>
  <c r="K286" i="1"/>
  <c r="K245" i="1"/>
  <c r="K268" i="1"/>
  <c r="K290" i="1"/>
  <c r="K263" i="1"/>
  <c r="K254" i="1"/>
  <c r="K287" i="1"/>
  <c r="K227" i="1"/>
  <c r="K235" i="1"/>
  <c r="K343" i="1"/>
  <c r="K402" i="1"/>
  <c r="K324" i="1"/>
  <c r="K315" i="1"/>
  <c r="K389" i="1"/>
  <c r="K416" i="1"/>
  <c r="K372" i="1"/>
  <c r="K373" i="1"/>
  <c r="K307" i="1"/>
  <c r="K327" i="1"/>
  <c r="K304" i="1"/>
  <c r="K407" i="1"/>
  <c r="K313" i="1"/>
  <c r="K351" i="1"/>
  <c r="K397" i="1"/>
  <c r="K326" i="1"/>
  <c r="K393" i="1"/>
  <c r="K417" i="1"/>
  <c r="K221" i="1"/>
  <c r="K233" i="1"/>
  <c r="K228" i="1"/>
  <c r="K399" i="1"/>
  <c r="K340" i="1"/>
  <c r="K356" i="1"/>
  <c r="K357" i="1"/>
  <c r="K395" i="1"/>
  <c r="K353" i="1"/>
  <c r="K347" i="1"/>
  <c r="K381" i="1"/>
  <c r="K300" i="1"/>
  <c r="K329" i="1"/>
  <c r="K365" i="1"/>
  <c r="K337" i="1"/>
  <c r="K398" i="1"/>
  <c r="K309" i="1"/>
  <c r="K382" i="1"/>
  <c r="K312" i="1"/>
  <c r="K232" i="1"/>
  <c r="K229" i="1"/>
  <c r="K339" i="1"/>
  <c r="K330" i="1"/>
  <c r="K314" i="1"/>
  <c r="K302" i="1"/>
  <c r="K350" i="1"/>
  <c r="K403" i="1"/>
  <c r="K367" i="1"/>
  <c r="K408" i="1"/>
  <c r="K334" i="1"/>
  <c r="K364" i="1"/>
  <c r="K303" i="1"/>
  <c r="K404" i="1"/>
  <c r="K319" i="1"/>
  <c r="K358" i="1"/>
  <c r="K325" i="1"/>
  <c r="K413" i="1"/>
  <c r="K311" i="1"/>
  <c r="K220" i="1"/>
  <c r="K234" i="1"/>
  <c r="K214" i="1"/>
  <c r="K360" i="1"/>
  <c r="K301" i="1"/>
  <c r="K371" i="1"/>
  <c r="K323" i="1"/>
  <c r="K320" i="1"/>
  <c r="K298" i="1"/>
  <c r="K305" i="1"/>
  <c r="K391" i="1"/>
  <c r="K363" i="1"/>
  <c r="K306" i="1"/>
  <c r="K328" i="1"/>
  <c r="K359" i="1"/>
  <c r="K396" i="1"/>
  <c r="K224" i="1"/>
  <c r="K215" i="1"/>
  <c r="K230" i="1"/>
  <c r="K375" i="1"/>
  <c r="K405" i="1"/>
  <c r="K361" i="1"/>
  <c r="K409" i="1"/>
  <c r="K338" i="1"/>
  <c r="K394" i="1"/>
  <c r="K308" i="1"/>
  <c r="K332" i="1"/>
  <c r="K374" i="1"/>
  <c r="K348" i="1"/>
  <c r="K390" i="1"/>
  <c r="K310" i="1"/>
  <c r="K299" i="1"/>
  <c r="K370" i="1"/>
  <c r="K368" i="1"/>
  <c r="K225" i="1"/>
  <c r="K219" i="1"/>
  <c r="K412" i="1"/>
  <c r="K322" i="1"/>
  <c r="K355" i="1"/>
  <c r="K216" i="1"/>
  <c r="K226" i="1"/>
  <c r="K222" i="1"/>
  <c r="K352" i="1"/>
  <c r="K415" i="1"/>
  <c r="K342" i="1"/>
  <c r="K376" i="1"/>
  <c r="K346" i="1"/>
  <c r="K379" i="1"/>
  <c r="K344" i="1"/>
  <c r="K366" i="1"/>
  <c r="K377" i="1"/>
  <c r="K386" i="1"/>
  <c r="K345" i="1"/>
  <c r="K387" i="1"/>
  <c r="K411" i="1"/>
  <c r="K321" i="1"/>
  <c r="K362" i="1"/>
  <c r="K218" i="1"/>
  <c r="K333" i="1"/>
  <c r="K383" i="1"/>
  <c r="K400" i="1"/>
  <c r="K231" i="1"/>
  <c r="K217" i="1"/>
  <c r="K223" i="1"/>
  <c r="K414" i="1"/>
  <c r="K392" i="1"/>
  <c r="K317" i="1"/>
  <c r="K331" i="1"/>
  <c r="K384" i="1"/>
  <c r="K385" i="1"/>
  <c r="K336" i="1"/>
  <c r="K316" i="1"/>
  <c r="K388" i="1"/>
  <c r="K406" i="1"/>
  <c r="K349" i="1"/>
  <c r="K318" i="1"/>
  <c r="K380" i="1"/>
  <c r="K378" i="1"/>
  <c r="K335" i="1"/>
  <c r="K354" i="1"/>
  <c r="K410" i="1"/>
  <c r="K369" i="1"/>
  <c r="K401" i="1"/>
  <c r="K341" i="1"/>
  <c r="K469" i="1"/>
  <c r="K437" i="1"/>
  <c r="Y31" i="1"/>
  <c r="X31" i="1"/>
  <c r="W31" i="1"/>
  <c r="V31" i="1"/>
  <c r="C31" i="1"/>
  <c r="Y3" i="1"/>
  <c r="X3" i="1"/>
  <c r="W3" i="1"/>
  <c r="V3" i="1"/>
  <c r="O3" i="1"/>
  <c r="P3" i="1" s="1"/>
  <c r="Q3" i="1"/>
  <c r="R3" i="1"/>
  <c r="Z3" i="1" l="1"/>
</calcChain>
</file>

<file path=xl/comments1.xml><?xml version="1.0" encoding="utf-8"?>
<comments xmlns="http://schemas.openxmlformats.org/spreadsheetml/2006/main">
  <authors>
    <author>Jon Jowett</author>
  </authors>
  <commentList>
    <comment ref="E2" authorId="0">
      <text>
        <r>
          <rPr>
            <sz val="9"/>
            <color indexed="81"/>
            <rFont val="Tahoma"/>
            <family val="2"/>
          </rPr>
          <t>Ctrl-q to copy</t>
        </r>
      </text>
    </comment>
    <comment ref="F2" authorId="0">
      <text>
        <r>
          <rPr>
            <sz val="9"/>
            <color indexed="81"/>
            <rFont val="Tahoma"/>
            <family val="2"/>
          </rPr>
          <t>Ctrl-q to copy</t>
        </r>
      </text>
    </comment>
  </commentList>
</comments>
</file>

<file path=xl/sharedStrings.xml><?xml version="1.0" encoding="utf-8"?>
<sst xmlns="http://schemas.openxmlformats.org/spreadsheetml/2006/main" count="19" uniqueCount="18">
  <si>
    <t>num_pops</t>
  </si>
  <si>
    <t>cost mult</t>
  </si>
  <si>
    <t>cost_mult</t>
  </si>
  <si>
    <t>between</t>
  </si>
  <si>
    <t>and</t>
  </si>
  <si>
    <t>base_cost</t>
  </si>
  <si>
    <t>single_col</t>
  </si>
  <si>
    <t>static_modifiers</t>
  </si>
  <si>
    <t>remove modifiers</t>
  </si>
  <si>
    <t>modifier name</t>
  </si>
  <si>
    <t>buy_influence.200</t>
  </si>
  <si>
    <t>0point5</t>
  </si>
  <si>
    <t>1point0</t>
  </si>
  <si>
    <t>1point5</t>
  </si>
  <si>
    <t>2point0</t>
  </si>
  <si>
    <t>buy_influence.100</t>
  </si>
  <si>
    <t>influence per month</t>
  </si>
  <si>
    <t>Energy &amp; Mineral cost by empire size (num_pops) and influence per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</si>
</sst>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11" borderId="0" xfId="0" applyFill="1"/>
    <xf numFmtId="0" fontId="0" fillId="0" borderId="0" xfId="0" applyAlignment="1">
      <alignment horizontal="left"/>
    </xf>
    <xf numFmtId="0" fontId="0" fillId="0" borderId="0" xfId="0" applyAlignment="1"/>
    <xf numFmtId="0" fontId="0" fillId="11" borderId="0" xfId="0" applyFill="1" applyAlignment="1">
      <alignment horizontal="left"/>
    </xf>
    <xf numFmtId="0" fontId="0" fillId="0" borderId="0" xfId="0" applyFill="1"/>
    <xf numFmtId="0" fontId="0" fillId="0" borderId="0" xfId="0" applyAlignment="1">
      <alignment horizontal="center"/>
    </xf>
    <xf numFmtId="0" fontId="0" fillId="13" borderId="0" xfId="0" applyFill="1"/>
    <xf numFmtId="0" fontId="0" fillId="13" borderId="0" xfId="0" applyFill="1" applyAlignme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4" borderId="10" xfId="0" applyFill="1" applyBorder="1"/>
    <xf numFmtId="0" fontId="0" fillId="3" borderId="10" xfId="0" applyFill="1" applyBorder="1"/>
    <xf numFmtId="0" fontId="0" fillId="5" borderId="10" xfId="0" applyFill="1" applyBorder="1"/>
    <xf numFmtId="0" fontId="0" fillId="10" borderId="10" xfId="0" applyFill="1" applyBorder="1"/>
    <xf numFmtId="0" fontId="0" fillId="10" borderId="7" xfId="0" applyFill="1" applyBorder="1"/>
    <xf numFmtId="0" fontId="0" fillId="0" borderId="9" xfId="0" applyBorder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Main"/>
  <dimension ref="B1:AB503"/>
  <sheetViews>
    <sheetView tabSelected="1" zoomScale="85" zoomScaleNormal="85" workbookViewId="0">
      <selection activeCell="I3" sqref="I3"/>
    </sheetView>
  </sheetViews>
  <sheetFormatPr defaultRowHeight="14.25" x14ac:dyDescent="0.45"/>
  <cols>
    <col min="1" max="1" width="3.265625" customWidth="1"/>
    <col min="19" max="21" width="9.06640625" style="7"/>
    <col min="26" max="28" width="9.06640625" style="7"/>
  </cols>
  <sheetData>
    <row r="1" spans="2:26" ht="14.65" thickBot="1" x14ac:dyDescent="0.5">
      <c r="E1">
        <v>10</v>
      </c>
      <c r="F1">
        <v>20</v>
      </c>
      <c r="G1">
        <v>30</v>
      </c>
      <c r="H1">
        <v>40</v>
      </c>
    </row>
    <row r="2" spans="2:26" ht="14.65" thickBot="1" x14ac:dyDescent="0.5">
      <c r="B2" s="9" t="s">
        <v>17</v>
      </c>
      <c r="C2" s="10"/>
      <c r="D2" s="10"/>
      <c r="E2" s="10"/>
      <c r="F2" s="10"/>
      <c r="G2" s="10"/>
      <c r="H2" s="11"/>
      <c r="O2" s="6" t="s">
        <v>10</v>
      </c>
      <c r="P2" s="6"/>
      <c r="Q2" s="6"/>
      <c r="R2" s="6"/>
      <c r="S2" s="8"/>
      <c r="V2" s="6" t="s">
        <v>15</v>
      </c>
      <c r="W2" s="6"/>
      <c r="X2" s="6"/>
      <c r="Y2" s="6"/>
    </row>
    <row r="3" spans="2:26" x14ac:dyDescent="0.45">
      <c r="B3" s="12" t="s">
        <v>0</v>
      </c>
      <c r="C3" s="14"/>
      <c r="D3" s="27" t="s">
        <v>2</v>
      </c>
      <c r="E3" s="12" t="s">
        <v>16</v>
      </c>
      <c r="F3" s="13"/>
      <c r="G3" s="13"/>
      <c r="H3" s="14"/>
      <c r="J3" t="s">
        <v>0</v>
      </c>
      <c r="K3" t="s">
        <v>1</v>
      </c>
      <c r="M3" t="str">
        <f>CHAR(9)</f>
        <v xml:space="preserve">	</v>
      </c>
      <c r="O3" s="1" t="str">
        <f>CHAR(9) &amp; CHAR(9) &amp; IF(N3="","","else_") &amp; "if = {
" &amp; CHAR(9) &amp; CHAR(9) &amp; CHAR(9) &amp; "limit = { has_modifier = buy_influence_" &amp; V4 &amp; " }
" &amp; Concatenate_Column(O5:O32)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if = {
			limit = { has_modifier = buy_influence_0point5 }
			if = {
				limit = { NOT = { AND = { num_pops &gt; 0 num_pops &lt; 42 has_modifier = buy_influence_drain_0010 } } }
				if = {
					limit = { has_country_flag = buy_influence_auto_renew }
					country_event = { id = buy_influence.300 }
					add_modifier = { modifier = "buy_influence_drain_0010" days = -1 } }
				}
				else = {
					country_event = { id = buy_influence.100 }
				}
			}
			else_if = {
				limit = { NOT = { AND = { num_pops &gt; 41 num_pops &lt; 54 has_modifier = buy_influence_drain_0012 } } }
				if = {
					limit = { has_country_flag = buy_influence_auto_renew }
					country_event = { id = buy_influence.300 }
					add_modifier = { modifier = "buy_influence_drain_0012" days = -1 } }
				}
				else = {
					country_event = { id = buy_influence.100 }
				}
			}
			else_if = {
				limit = { NOT = { AND = { num_pops &gt; 53 num_pops &lt; 66 has_modifier = buy_influence_drain_0014 } } }
				if = {
					limit = { has_country_flag = buy_influence_auto_renew }
					country_event = { id = buy_influence.300 }
					add_modifier = { modifier = "buy_influence_drain_0014" days = -1 } }
				}
				else = {
					country_event = { id = buy_influence.100 }
				}
			}
			else_if = {
				limit = { NOT = { AND = { num_pops &gt; 65 num_pops &lt; 78 has_modifier = buy_influence_drain_0016 } } }
				if = {
					limit = { has_country_flag = buy_influence_auto_renew }
					country_event = { id = buy_influence.300 }
					add_modifier = { modifier = "buy_influence_drain_0016" days = -1 } }
				}
				else = {
					country_event = { id = buy_influence.100 }
				}
			}
			else_if = {
				limit = { NOT = { AND = { num_pops &gt; 77 num_pops &lt; 90 has_modifier = buy_influence_drain_0018 } } }
				if = {
					limit = { has_country_flag = buy_influence_auto_renew }
					country_event = { id = buy_influence.300 }
					add_modifier = { modifier = "buy_influence_drain_0018" days = -1 } }
				}
				else = {
					country_event = { id = buy_influence.100 }
				}
			}
			else_if = {
				limit = { NOT = { AND = { num_pops &gt; 89 num_pops &lt; 120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			else_if = {
				limit = { NOT = { AND = { num_pops &gt; 119 num_pops &lt; 150 has_modifier = buy_influence_drain_0025 } } }
				if = {
					limit = { has_country_flag = buy_influence_auto_renew }
					country_event = { id = buy_influence.300 }
					add_modifier = { modifier = "buy_influence_drain_0025" days = -1 } }
				}
				else = {
					country_event = { id = buy_influence.100 }
				}
			}
			else_if = {
				limit = { NOT = { AND = { num_pops &gt; 149 num_pops &lt; 180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			else_if = {
				limit = { NOT = { AND = { num_pops &gt; 179 num_pops &lt; 210 has_modifier = buy_influence_drain_0035 } } }
				if = {
					limit = { has_country_flag = buy_influence_auto_renew }
					country_event = { id = buy_influence.300 }
					add_modifier = { modifier = "buy_influence_drain_0035" days = -1 } }
				}
				else = {
					country_event = { id = buy_influence.100 }
				}
			}
			else_if = {
				limit = { NOT = { AND = { num_pops &gt; 209 num_pops &lt; 240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239 num_pops &lt; 270 has_modifier = buy_influence_drain_0045 } } }
				if = {
					limit = { has_country_flag = buy_influence_auto_renew }
					country_event = { id = buy_influence.300 }
					add_modifier = { modifier = "buy_influence_drain_0045" days = -1 } }
				}
				else = {
					country_event = { id = buy_influence.100 }
				}
			}
			else_if = {
				limit = { NOT = { AND = { num_pops &gt; 269 num_pops &lt; 330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			else_if = {
				limit = { NOT = { AND = { num_pops &gt; 329 num_pops &lt; 390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389 num_pops &lt; 450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			else_if = {
				limit = { NOT = { AND = { num_pops &gt; 449 num_pops &lt; 510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509 num_pops &lt; 570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569 num_pops &lt; 690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689 num_pops &lt; 810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809 num_pops &lt; 930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929 num_pops &lt; 1050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1049 num_pops &lt; 1170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1169 num_pops &lt; 1470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1469 num_pops &lt; 1770 has_modifier = buy_influence_drain_0250 } } }
				if = {
					limit = { has_country_flag = buy_influence_auto_renew }
					country_event = { id = buy_influence.300 }
					add_modifier = { modifier = "buy_influence_drain_0250" days = -1 } }
				}
				else = {
					country_event = { id = buy_influence.100 }
				}
			}
			else_if = {
				limit = { NOT = { AND = { num_pops &gt; 1769 num_pops &lt; 2070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			else_if = {
				limit = { NOT = { AND = { num_pops &gt; 2069 num_pops &lt; 2370 has_modifier = buy_influence_drain_0350 } } }
				if = {
					limit = { has_country_flag = buy_influence_auto_renew }
					country_event = { id = buy_influence.300 }
					add_modifier = { modifier = "buy_influence_drain_0350" days = -1 } }
				}
				else = {
					country_event = { id = buy_influence.100 }
				}
			}
			else_if = {
				limit = { NOT = { AND = { num_pops &gt; 2369 num_pops &lt; 2670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2669 num_pops &lt; 2970 has_modifier = buy_influence_drain_0450 } } }
				if = {
					limit = { has_country_flag = buy_influence_auto_renew }
					country_event = { id = buy_influence.300 }
					add_modifier = { modifier = "buy_influence_drain_0450" days = -1 } }
				}
				else = {
					country_event = { id = buy_influence.100 }
				}
			}
			else_if = {
				limit = { NOT = { has_modifier = buy_influence_drain_0500 } }
				if = {
					limit = { has_country_flag = buy_influence_auto_renew }
					country_event = { id = buy_influence.300 }
					add_modifier = { modifier = "buy_influence_drain_0500" days = -1 } }
				}
				else = {
					country_event = { id = buy_influence.100 }
				}
			}
			else = {
				#Do nothing because the empire has the correct drain rate
			}
		}
</v>
      </c>
      <c r="P3" s="1" t="str">
        <f t="shared" ref="P3:R3" si="0">CHAR(9) &amp; CHAR(9) &amp; IF(O3="","","else_") &amp; "if = {
" &amp; CHAR(9) &amp; CHAR(9) &amp; CHAR(9) &amp; "limit = { has_modifier = buy_influence_" &amp; W4 &amp; " }
" &amp; Concatenate_Column(P5:P32)
 &amp; CHAR(9) &amp; CHAR(9) &amp; CHAR(9) &amp; "else = {
" &amp; CHAR(9) &amp; CHAR(9) &amp; CHAR(9) &amp; CHAR(9) &amp; "#Do nothing because the empire has the correct drain rate
" &amp; CHAR(9) &amp; CHAR(9) &amp; CHAR(9) &amp; "}
" &amp; CHAR(9) &amp; CHAR(9) &amp; "}
"</f>
        <v xml:space="preserve">		else_if = {
			limit = { has_modifier = buy_influence_1point0 }
			if = {
				limit = { NOT = { AND = { num_pops &gt; 0 num_pops &lt; 42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			else_if = {
				limit = { NOT = { AND = { num_pops &gt; 41 num_pops &lt; 54 has_modifier = buy_influence_drain_0024 } } }
				if = {
					limit = { has_country_flag = buy_influence_auto_renew }
					country_event = { id = buy_influence.300 }
					add_modifier = { modifier = "buy_influence_drain_0024" days = -1 } }
				}
				else = {
					country_event = { id = buy_influence.100 }
				}
			}
			else_if = {
				limit = { NOT = { AND = { num_pops &gt; 53 num_pops &lt; 66 has_modifier = buy_influence_drain_0028 } } }
				if = {
					limit = { has_country_flag = buy_influence_auto_renew }
					country_event = { id = buy_influence.300 }
					add_modifier = { modifier = "buy_influence_drain_0028" days = -1 } }
				}
				else = {
					country_event = { id = buy_influence.100 }
				}
			}
			else_if = {
				limit = { NOT = { AND = { num_pops &gt; 65 num_pops &lt; 78 has_modifier = buy_influence_drain_0032 } } }
				if = {
					limit = { has_country_flag = buy_influence_auto_renew }
					country_event = { id = buy_influence.300 }
					add_modifier = { modifier = "buy_influence_drain_0032" days = -1 } }
				}
				else = {
					country_event = { id = buy_influence.100 }
				}
			}
			else_if = {
				limit = { NOT = { AND = { num_pops &gt; 77 num_pops &lt; 90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			else_if = {
				limit = { NOT = { AND = { num_pops &gt; 89 num_pops &lt; 120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119 num_pops &lt; 150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			else_if = {
				limit = { NOT = { AND = { num_pops &gt; 149 num_pops &lt; 180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179 num_pops &lt; 210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			else_if = {
				limit = { NOT = { AND = { num_pops &gt; 209 num_pops &lt; 240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239 num_pops &lt; 270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269 num_pops &lt; 330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329 num_pops &lt; 390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389 num_pops &lt; 450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449 num_pops &lt; 510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509 num_pops &lt; 570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569 num_pops &lt; 690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689 num_pops &lt; 810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809 num_pops &lt; 930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			else_if = {
				limit = { NOT = { AND = { num_pops &gt; 929 num_pops &lt; 1050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			else_if = {
				limit = { NOT = { AND = { num_pops &gt; 1049 num_pops &lt; 1170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1169 num_pops &lt; 1470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1469 num_pops &lt; 1770 has_modifier = buy_influence_drain_0500 } } }
				if = {
					limit = { has_country_flag = buy_influence_auto_renew }
					country_event = { id = buy_influence.300 }
					add_modifier = { modifier = "buy_influence_drain_0500" days = -1 } }
				}
				else = {
					country_event = { id = buy_influence.100 }
				}
			}
			else_if = {
				limit = { NOT = { AND = { num_pops &gt; 1769 num_pops &lt; 2070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			else_if = {
				limit = { NOT = { AND = { num_pops &gt; 2069 num_pops &lt; 2370 has_modifier = buy_influence_drain_0700 } } }
				if = {
					limit = { has_country_flag = buy_influence_auto_renew }
					country_event = { id = buy_influence.300 }
					add_modifier = { modifier = "buy_influence_drain_0700" days = -1 } }
				}
				else = {
					country_event = { id = buy_influence.100 }
				}
			}
			else_if = {
				limit = { NOT = { AND = { num_pops &gt; 2369 num_pops &lt; 2670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			else_if = {
				limit = { NOT = { AND = { num_pops &gt; 2669 num_pops &lt; 2970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			else_if = {
				limit = { NOT = { has_modifier = buy_influence_drain_1000 } }
				if = {
					limit = { has_country_flag = buy_influence_auto_renew }
					country_event = { id = buy_influence.300 }
					add_modifier = { modifier = "buy_influence_drain_1000" days = -1 } }
				}
				else = {
					country_event = { id = buy_influence.100 }
				}
			}
			else = {
				#Do nothing because the empire has the correct drain rate
			}
		}
</v>
      </c>
      <c r="Q3" s="1" t="str">
        <f t="shared" si="0"/>
        <v xml:space="preserve">		else_if = {
			limit = { has_modifier = buy_influence_1point5 }
			if = {
				limit = { NOT = { AND = { num_pops &gt; 0 num_pops &lt; 42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			else_if = {
				limit = { NOT = { AND = { num_pops &gt; 41 num_pops &lt; 54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			else_if = {
				limit = { NOT = { AND = { num_pops &gt; 53 num_pops &lt; 66 has_modifier = buy_influence_drain_0042 } } }
				if = {
					limit = { has_country_flag = buy_influence_auto_renew }
					country_event = { id = buy_influence.300 }
					add_modifier = { modifier = "buy_influence_drain_0042" days = -1 } }
				}
				else = {
					country_event = { id = buy_influence.100 }
				}
			}
			else_if = {
				limit = { NOT = { AND = { num_pops &gt; 65 num_pops &lt; 78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			else_if = {
				limit = { NOT = { AND = { num_pops &gt; 77 num_pops &lt; 90 has_modifier = buy_influence_drain_0054 } } }
				if = {
					limit = { has_country_flag = buy_influence_auto_renew }
					country_event = { id = buy_influence.300 }
					add_modifier = { modifier = "buy_influence_drain_0054" days = -1 } }
				}
				else = {
					country_event = { id = buy_influence.100 }
				}
			}
			else_if = {
				limit = { NOT = { AND = { num_pops &gt; 89 num_pops &lt; 120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			else_if = {
				limit = { NOT = { AND = { num_pops &gt; 119 num_pops &lt; 150 has_modifier = buy_influence_drain_0075 } } }
				if = {
					limit = { has_country_flag = buy_influence_auto_renew }
					country_event = { id = buy_influence.300 }
					add_modifier = { modifier = "buy_influence_drain_0075" days = -1 } }
				}
				else = {
					country_event = { id = buy_influence.100 }
				}
			}
			else_if = {
				limit = { NOT = { AND = { num_pops &gt; 149 num_pops &lt; 180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			else_if = {
				limit = { NOT = { AND = { num_pops &gt; 179 num_pops &lt; 210 has_modifier = buy_influence_drain_0105 } } }
				if = {
					limit = { has_country_flag = buy_influence_auto_renew }
					country_event = { id = buy_influence.300 }
					add_modifier = { modifier = "buy_influence_drain_0105" days = -1 } }
				}
				else = {
					country_event = { id = buy_influence.100 }
				}
			}
			else_if = {
				limit = { NOT = { AND = { num_pops &gt; 209 num_pops &lt; 240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239 num_pops &lt; 270 has_modifier = buy_influence_drain_0135 } } }
				if = {
					limit = { has_country_flag = buy_influence_auto_renew }
					country_event = { id = buy_influence.300 }
					add_modifier = { modifier = "buy_influence_drain_0135" days = -1 } }
				}
				else = {
					country_event = { id = buy_influence.100 }
				}
			}
			else_if = {
				limit = { NOT = { AND = { num_pops &gt; 269 num_pops &lt; 330 has_modifier = buy_influence_drain_0150 } } }
				if = {
					limit = { has_country_flag = buy_influence_auto_renew }
					country_event = { id = buy_influence.300 }
					add_modifier = { modifier = "buy_influence_drain_0150" days = -1 } }
				}
				else = {
					country_event = { id = buy_influence.100 }
				}
			}
			else_if = {
				limit = { NOT = { AND = { num_pops &gt; 329 num_pops &lt; 390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389 num_pops &lt; 450 has_modifier = buy_influence_drain_0210 } } }
				if = {
					limit = { has_country_flag = buy_influence_auto_renew }
					country_event = { id = buy_influence.300 }
					add_modifier = { modifier = "buy_influence_drain_0210" days = -1 } }
				}
				else = {
					country_event = { id = buy_influence.100 }
				}
			}
			else_if = {
				limit = { NOT = { AND = { num_pops &gt; 449 num_pops &lt; 510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509 num_pops &lt; 570 has_modifier = buy_influence_drain_0270 } } }
				if = {
					limit = { has_country_flag = buy_influence_auto_renew }
					country_event = { id = buy_influence.300 }
					add_modifier = { modifier = "buy_influence_drain_0270" days = -1 } }
				}
				else = {
					country_event = { id = buy_influence.100 }
				}
			}
			else_if = {
				limit = { NOT = { AND = { num_pops &gt; 569 num_pops &lt; 690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			else_if = {
				limit = { NOT = { AND = { num_pops &gt; 689 num_pops &lt; 810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809 num_pops &lt; 930 has_modifier = buy_influence_drain_0420 } } }
				if = {
					limit = { has_country_flag = buy_influence_auto_renew }
					country_event = { id = buy_influence.300 }
					add_modifier = { modifier = "buy_influence_drain_0420" days = -1 } }
				}
				else = {
					country_event = { id = buy_influence.100 }
				}
			}
			else_if = {
				limit = { NOT = { AND = { num_pops &gt; 929 num_pops &lt; 1050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			else_if = {
				limit = { NOT = { AND = { num_pops &gt; 1049 num_pops &lt; 1170 has_modifier = buy_influence_drain_0540 } } }
				if = {
					limit = { has_country_flag = buy_influence_auto_renew }
					country_event = { id = buy_influence.300 }
					add_modifier = { modifier = "buy_influence_drain_0540" days = -1 } }
				}
				else = {
					country_event = { id = buy_influence.100 }
				}
			}
			else_if = {
				limit = { NOT = { AND = { num_pops &gt; 1169 num_pops &lt; 1470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			else_if = {
				limit = { NOT = { AND = { num_pops &gt; 1469 num_pops &lt; 1770 has_modifier = buy_influence_drain_0750 } } }
				if = {
					limit = { has_country_flag = buy_influence_auto_renew }
					country_event = { id = buy_influence.300 }
					add_modifier = { modifier = "buy_influence_drain_0750" days = -1 } }
				}
				else = {
					country_event = { id = buy_influence.100 }
				}
			}
			else_if = {
				limit = { NOT = { AND = { num_pops &gt; 1769 num_pops &lt; 2070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			else_if = {
				limit = { NOT = { AND = { num_pops &gt; 2069 num_pops &lt; 2370 has_modifier = buy_influence_drain_1050 } } }
				if = {
					limit = { has_country_flag = buy_influence_auto_renew }
					country_event = { id = buy_influence.300 }
					add_modifier = { modifier = "buy_influence_drain_1050" days = -1 } }
				}
				else = {
					country_event = { id = buy_influence.100 }
				}
			}
			else_if = {
				limit = { NOT = { AND = { num_pops &gt; 2369 num_pops &lt; 2670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			else_if = {
				limit = { NOT = { AND = { num_pops &gt; 2669 num_pops &lt; 2970 has_modifier = buy_influence_drain_1350 } } }
				if = {
					limit = { has_country_flag = buy_influence_auto_renew }
					country_event = { id = buy_influence.300 }
					add_modifier = { modifier = "buy_influence_drain_1350" days = -1 } }
				}
				else = {
					country_event = { id = buy_influence.100 }
				}
			}
			else_if = {
				limit = { NOT = { has_modifier = buy_influence_drain_1500 } }
				if = {
					limit = { has_country_flag = buy_influence_auto_renew }
					country_event = { id = buy_influence.300 }
					add_modifier = { modifier = "buy_influence_drain_1500" days = -1 } }
				}
				else = {
					country_event = { id = buy_influence.100 }
				}
			}
			else = {
				#Do nothing because the empire has the correct drain rate
			}
		}
</v>
      </c>
      <c r="R3" s="1" t="str">
        <f t="shared" si="0"/>
        <v xml:space="preserve">		else_if = {
			limit = { has_modifier = buy_influence_2point0 }
			if = {
				limit = { NOT = { AND = { num_pops &gt; 0 num_pops &lt; 42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			else_if = {
				limit = { NOT = { AND = { num_pops &gt; 41 num_pops &lt; 54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			else_if = {
				limit = { NOT = { AND = { num_pops &gt; 53 num_pops &lt; 66 has_modifier = buy_influence_drain_0056 } } }
				if = {
					limit = { has_country_flag = buy_influence_auto_renew }
					country_event = { id = buy_influence.300 }
					add_modifier = { modifier = "buy_influence_drain_0056" days = -1 } }
				}
				else = {
					country_event = { id = buy_influence.100 }
				}
			}
			else_if = {
				limit = { NOT = { AND = { num_pops &gt; 65 num_pops &lt; 78 has_modifier = buy_influence_drain_0064 } } }
				if = {
					limit = { has_country_flag = buy_influence_auto_renew }
					country_event = { id = buy_influence.300 }
					add_modifier = { modifier = "buy_influence_drain_0064" days = -1 } }
				}
				else = {
					country_event = { id = buy_influence.100 }
				}
			}
			else_if = {
				limit = { NOT = { AND = { num_pops &gt; 77 num_pops &lt; 90 has_modifier = buy_influence_drain_0072 } } }
				if = {
					limit = { has_country_flag = buy_influence_auto_renew }
					country_event = { id = buy_influence.300 }
					add_modifier = { modifier = "buy_influence_drain_0072" days = -1 } }
				}
				else = {
					country_event = { id = buy_influence.100 }
				}
			}
			else_if = {
				limit = { NOT = { AND = { num_pops &gt; 89 num_pops &lt; 120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			else_if = {
				limit = { NOT = { AND = { num_pops &gt; 119 num_pops &lt; 150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			else_if = {
				limit = { NOT = { AND = { num_pops &gt; 149 num_pops &lt; 180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			else_if = {
				limit = { NOT = { AND = { num_pops &gt; 179 num_pops &lt; 210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			else_if = {
				limit = { NOT = { AND = { num_pops &gt; 209 num_pops &lt; 240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			else_if = {
				limit = { NOT = { AND = { num_pops &gt; 239 num_pops &lt; 270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			else_if = {
				limit = { NOT = { AND = { num_pops &gt; 269 num_pops &lt; 330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			else_if = {
				limit = { NOT = { AND = { num_pops &gt; 329 num_pops &lt; 390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			else_if = {
				limit = { NOT = { AND = { num_pops &gt; 389 num_pops &lt; 450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			else_if = {
				limit = { NOT = { AND = { num_pops &gt; 449 num_pops &lt; 510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			else_if = {
				limit = { NOT = { AND = { num_pops &gt; 509 num_pops &lt; 570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			else_if = {
				limit = { NOT = { AND = { num_pops &gt; 569 num_pops &lt; 690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			else_if = {
				limit = { NOT = { AND = { num_pops &gt; 689 num_pops &lt; 810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			else_if = {
				limit = { NOT = { AND = { num_pops &gt; 809 num_pops &lt; 930 has_modifier = buy_influence_drain_0560 } } }
				if = {
					limit = { has_country_flag = buy_influence_auto_renew }
					country_event = { id = buy_influence.300 }
					add_modifier = { modifier = "buy_influence_drain_0560" days = -1 } }
				}
				else = {
					country_event = { id = buy_influence.100 }
				}
			}
			else_if = {
				limit = { NOT = { AND = { num_pops &gt; 929 num_pops &lt; 1050 has_modifier = buy_influence_drain_0640 } } }
				if = {
					limit = { has_country_flag = buy_influence_auto_renew }
					country_event = { id = buy_influence.300 }
					add_modifier = { modifier = "buy_influence_drain_0640" days = -1 } }
				}
				else = {
					country_event = { id = buy_influence.100 }
				}
			}
			else_if = {
				limit = { NOT = { AND = { num_pops &gt; 1049 num_pops &lt; 1170 has_modifier = buy_influence_drain_0720 } } }
				if = {
					limit = { has_country_flag = buy_influence_auto_renew }
					country_event = { id = buy_influence.300 }
					add_modifier = { modifier = "buy_influence_drain_0720" days = -1 } }
				}
				else = {
					country_event = { id = buy_influence.100 }
				}
			}
			else_if = {
				limit = { NOT = { AND = { num_pops &gt; 1169 num_pops &lt; 1470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			else_if = {
				limit = { NOT = { AND = { num_pops &gt; 1469 num_pops &lt; 1770 has_modifier = buy_influence_drain_1000 } } }
				if = {
					limit = { has_country_flag = buy_influence_auto_renew }
					country_event = { id = buy_influence.300 }
					add_modifier = { modifier = "buy_influence_drain_1000" days = -1 } }
				}
				else = {
					country_event = { id = buy_influence.100 }
				}
			}
			else_if = {
				limit = { NOT = { AND = { num_pops &gt; 1769 num_pops &lt; 2070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			else_if = {
				limit = { NOT = { AND = { num_pops &gt; 2069 num_pops &lt; 2370 has_modifier = buy_influence_drain_1400 } } }
				if = {
					limit = { has_country_flag = buy_influence_auto_renew }
					country_event = { id = buy_influence.300 }
					add_modifier = { modifier = "buy_influence_drain_1400" days = -1 } }
				}
				else = {
					country_event = { id = buy_influence.100 }
				}
			}
			else_if = {
				limit = { NOT = { AND = { num_pops &gt; 2369 num_pops &lt; 2670 has_modifier = buy_influence_drain_1600 } } }
				if = {
					limit = { has_country_flag = buy_influence_auto_renew }
					country_event = { id = buy_influence.300 }
					add_modifier = { modifier = "buy_influence_drain_1600" days = -1 } }
				}
				else = {
					country_event = { id = buy_influence.100 }
				}
			}
			else_if = {
				limit = { NOT = { AND = { num_pops &gt; 2669 num_pops &lt; 2970 has_modifier = buy_influence_drain_1800 } } }
				if = {
					limit = { has_country_flag = buy_influence_auto_renew }
					country_event = { id = buy_influence.300 }
					add_modifier = { modifier = "buy_influence_drain_1800" days = -1 } }
				}
				else = {
					country_event = { id = buy_influence.100 }
				}
			}
			else_if = {
				limit = { NOT = { has_modifier = buy_influence_drain_2000 } }
				if = {
					limit = { has_country_flag = buy_influence_auto_renew }
					country_event = { id = buy_influence.300 }
					add_modifier = { modifier = "buy_influence_drain_2000" days = -1 } }
				}
				else = {
					country_event = { id = buy_influence.100 }
				}
			}
			else = {
				#Do nothing because the empire has the correct drain rate
			}
		}
</v>
      </c>
      <c r="V3" s="5" t="str">
        <f>CHAR(9) &amp; "option = {
" &amp; CHAR(9) &amp; CHAR(9) &amp; "name = {
" &amp; CHAR(9) &amp; CHAR(9) &amp; CHAR(9) &amp; "trigger = {
" &amp; CHAR(9) &amp; CHAR(9) &amp; CHAR(9) &amp; CHAR(9) &amp; "switch = {
" &amp; CHAR(9) &amp; CHAR(9) &amp; CHAR(9) &amp; CHAR(9) &amp; CHAR(9) &amp; "trigger = has_country_flag
" &amp; CHAR(9) &amp; CHAR(9) &amp; CHAR(9) &amp; CHAR(9) &amp; CHAR(9) &amp; "buy_influence_current_level_" &amp; V4 &amp; " = buy_influence.100." &amp; V4 &amp; ".renew
" &amp; CHAR(9) &amp; CHAR(9) &amp; CHAR(9) &amp; CHAR(9) &amp; CHAR(9) &amp; "default = buy_influence.100." &amp; V4 &amp; ".buy
" &amp; CHAR(9) &amp; CHAR(9) &amp; CHAR(9) &amp; CHAR(9) &amp; "}
" &amp; CHAR(9) &amp; CHAR(9) &amp; CHAR(9) &amp; "}
" &amp; CHAR(9) &amp; CHAR(9) &amp; "}
" &amp; CHAR(9) &amp; CHAR(9) &amp; "hidden_effect = { set_country_flag = buy_influence_started_" &amp; V4 &amp; " }
" &amp; CHAR(9) &amp; CHAR(9) &amp; "add_modifier = { modifier = ""buy_influence_" &amp; V4 &amp; """ days = -1 }
" &amp; Concatenate_Column(V5:V32)
&amp; CHAR(9) &amp; "}
"</f>
        <v xml:space="preserve">	option = {
		name = {
			trigger = {
				switch = {
					trigger = has_country_flag
					buy_influence_current_level_0point5 = buy_influence.100.0point5.renew
					default = buy_influence.100.0point5.buy
				}
			}
		}
		hidden_effect = { set_country_flag = buy_influence_started_0point5 }
		add_modifier = { modifier = "buy_influence_0point5" days = -1 }
		if = {
			limit = { num_pops &lt; 42 }
			add_modifier = { modifier = "buy_influence_drain_0010" days = -1 }
		}
		else_if = {
			limit = { num_pops &lt; 54 }
			add_modifier = { modifier = "buy_influence_drain_0012" days = -1 }
		}
		else_if = {
			limit = { num_pops &lt; 66 }
			add_modifier = { modifier = "buy_influence_drain_0014" days = -1 }
		}
		else_if = {
			limit = { num_pops &lt; 78 }
			add_modifier = { modifier = "buy_influence_drain_0016" days = -1 }
		}
		else_if = {
			limit = { num_pops &lt; 90 }
			add_modifier = { modifier = "buy_influence_drain_0018" days = -1 }
		}
		else_if = {
			limit = { num_pops &lt; 120 }
			add_modifier = { modifier = "buy_influence_drain_0020" days = -1 }
		}
		else_if = {
			limit = { num_pops &lt; 150 }
			add_modifier = { modifier = "buy_influence_drain_0025" days = -1 }
		}
		else_if = {
			limit = { num_pops &lt; 180 }
			add_modifier = { modifier = "buy_influence_drain_0030" days = -1 }
		}
		else_if = {
			limit = { num_pops &lt; 210 }
			add_modifier = { modifier = "buy_influence_drain_0035" days = -1 }
		}
		else_if = {
			limit = { num_pops &lt; 240 }
			add_modifier = { modifier = "buy_influence_drain_0040" days = -1 }
		}
		else_if = {
			limit = { num_pops &lt; 270 }
			add_modifier = { modifier = "buy_influence_drain_0045" days = -1 }
		}
		else_if = {
			limit = { num_pops &lt; 330 }
			add_modifier = { modifier = "buy_influence_drain_0050" days = -1 }
		}
		else_if = {
			limit = { num_pops &lt; 390 }
			add_modifier = { modifier = "buy_influence_drain_0060" days = -1 }
		}
		else_if = {
			limit = { num_pops &lt; 450 }
			add_modifier = { modifier = "buy_influence_drain_0070" days = -1 }
		}
		else_if = {
			limit = { num_pops &lt; 510 }
			add_modifier = { modifier = "buy_influence_drain_0080" days = -1 }
		}
		else_if = {
			limit = { num_pops &lt; 570 }
			add_modifier = { modifier = "buy_influence_drain_0090" days = -1 }
		}
		else_if = {
			limit = { num_pops &lt; 690 }
			add_modifier = { modifier = "buy_influence_drain_0100" days = -1 }
		}
		else_if = {
			limit = { num_pops &lt; 810 }
			add_modifier = { modifier = "buy_influence_drain_0120" days = -1 }
		}
		else_if = {
			limit = { num_pops &lt; 930 }
			add_modifier = { modifier = "buy_influence_drain_0140" days = -1 }
		}
		else_if = {
			limit = { num_pops &lt; 1050 }
			add_modifier = { modifier = "buy_influence_drain_0160" days = -1 }
		}
		else_if = {
			limit = { num_pops &lt; 1170 }
			add_modifier = { modifier = "buy_influence_drain_0180" days = -1 }
		}
		else_if = {
			limit = { num_pops &lt; 1470 }
			add_modifier = { modifier = "buy_influence_drain_0200" days = -1 }
		}
		else_if = {
			limit = { num_pops &lt; 1770 }
			add_modifier = { modifier = "buy_influence_drain_0250" days = -1 }
		}
		else_if = {
			limit = { num_pops &lt; 2070 }
			add_modifier = { modifier = "buy_influence_drain_0300" days = -1 }
		}
		else_if = {
			limit = { num_pops &lt; 2370 }
			add_modifier = { modifier = "buy_influence_drain_0350" days = -1 }
		}
		else_if = {
			limit = { num_pops &lt; 2670 }
			add_modifier = { modifier = "buy_influence_drain_0400" days = -1 }
		}
		else_if = {
			limit = { num_pops &lt; 2970 }
			add_modifier = { modifier = "buy_influence_drain_0450" days = -1 }
		}
		else = {
			add_modifier = { modifier = "buy_influence_drain_0500" days = -1 }
		}
	}
</v>
      </c>
      <c r="W3" s="5" t="str">
        <f t="shared" ref="W3:Y3" si="1">CHAR(9) &amp; "option = {
" &amp; CHAR(9) &amp; CHAR(9) &amp; "name = {
" &amp; CHAR(9) &amp; CHAR(9) &amp; CHAR(9) &amp; "trigger = {
" &amp; CHAR(9) &amp; CHAR(9) &amp; CHAR(9) &amp; CHAR(9) &amp; "switch = {
" &amp; CHAR(9) &amp; CHAR(9) &amp; CHAR(9) &amp; CHAR(9) &amp; CHAR(9) &amp; "trigger = has_country_flag
" &amp; CHAR(9) &amp; CHAR(9) &amp; CHAR(9) &amp; CHAR(9) &amp; CHAR(9) &amp; "buy_influence_current_level_" &amp; W4 &amp; " = buy_influence.100." &amp; W4 &amp; ".renew
" &amp; CHAR(9) &amp; CHAR(9) &amp; CHAR(9) &amp; CHAR(9) &amp; CHAR(9) &amp; "default = buy_influence.100." &amp; W4 &amp; ".buy
" &amp; CHAR(9) &amp; CHAR(9) &amp; CHAR(9) &amp; CHAR(9) &amp; "}
" &amp; CHAR(9) &amp; CHAR(9) &amp; CHAR(9) &amp; "}
" &amp; CHAR(9) &amp; CHAR(9) &amp; "}
" &amp; CHAR(9) &amp; CHAR(9) &amp; "hidden_effect = { set_country_flag = buy_influence_started_" &amp; W4 &amp; " }
" &amp; CHAR(9) &amp; CHAR(9) &amp; "add_modifier = { modifier = ""buy_influence_" &amp; W4 &amp; """ days = -1 }
" &amp; Concatenate_Column(W5:W32)
&amp; CHAR(9) &amp; "}
"</f>
        <v xml:space="preserve">	option = {
		name = {
			trigger = {
				switch = {
					trigger = has_country_flag
					buy_influence_current_level_1point0 = buy_influence.100.1point0.renew
					default = buy_influence.100.1point0.buy
				}
			}
		}
		hidden_effect = { set_country_flag = buy_influence_started_1point0 }
		add_modifier = { modifier = "buy_influence_1point0" days = -1 }
		if = {
			limit = { num_pops &lt; 42 }
			add_modifier = { modifier = "buy_influence_drain_0020" days = -1 }
		}
		else_if = {
			limit = { num_pops &lt; 54 }
			add_modifier = { modifier = "buy_influence_drain_0024" days = -1 }
		}
		else_if = {
			limit = { num_pops &lt; 66 }
			add_modifier = { modifier = "buy_influence_drain_0028" days = -1 }
		}
		else_if = {
			limit = { num_pops &lt; 78 }
			add_modifier = { modifier = "buy_influence_drain_0032" days = -1 }
		}
		else_if = {
			limit = { num_pops &lt; 90 }
			add_modifier = { modifier = "buy_influence_drain_0036" days = -1 }
		}
		else_if = {
			limit = { num_pops &lt; 120 }
			add_modifier = { modifier = "buy_influence_drain_0040" days = -1 }
		}
		else_if = {
			limit = { num_pops &lt; 150 }
			add_modifier = { modifier = "buy_influence_drain_0050" days = -1 }
		}
		else_if = {
			limit = { num_pops &lt; 180 }
			add_modifier = { modifier = "buy_influence_drain_0060" days = -1 }
		}
		else_if = {
			limit = { num_pops &lt; 210 }
			add_modifier = { modifier = "buy_influence_drain_0070" days = -1 }
		}
		else_if = {
			limit = { num_pops &lt; 240 }
			add_modifier = { modifier = "buy_influence_drain_0080" days = -1 }
		}
		else_if = {
			limit = { num_pops &lt; 270 }
			add_modifier = { modifier = "buy_influence_drain_0090" days = -1 }
		}
		else_if = {
			limit = { num_pops &lt; 330 }
			add_modifier = { modifier = "buy_influence_drain_0100" days = -1 }
		}
		else_if = {
			limit = { num_pops &lt; 390 }
			add_modifier = { modifier = "buy_influence_drain_0120" days = -1 }
		}
		else_if = {
			limit = { num_pops &lt; 450 }
			add_modifier = { modifier = "buy_influence_drain_0140" days = -1 }
		}
		else_if = {
			limit = { num_pops &lt; 510 }
			add_modifier = { modifier = "buy_influence_drain_0160" days = -1 }
		}
		else_if = {
			limit = { num_pops &lt; 570 }
			add_modifier = { modifier = "buy_influence_drain_0180" days = -1 }
		}
		else_if = {
			limit = { num_pops &lt; 690 }
			add_modifier = { modifier = "buy_influence_drain_0200" days = -1 }
		}
		else_if = {
			limit = { num_pops &lt; 810 }
			add_modifier = { modifier = "buy_influence_drain_0240" days = -1 }
		}
		else_if = {
			limit = { num_pops &lt; 930 }
			add_modifier = { modifier = "buy_influence_drain_0280" days = -1 }
		}
		else_if = {
			limit = { num_pops &lt; 1050 }
			add_modifier = { modifier = "buy_influence_drain_0320" days = -1 }
		}
		else_if = {
			limit = { num_pops &lt; 1170 }
			add_modifier = { modifier = "buy_influence_drain_0360" days = -1 }
		}
		else_if = {
			limit = { num_pops &lt; 1470 }
			add_modifier = { modifier = "buy_influence_drain_0400" days = -1 }
		}
		else_if = {
			limit = { num_pops &lt; 1770 }
			add_modifier = { modifier = "buy_influence_drain_0500" days = -1 }
		}
		else_if = {
			limit = { num_pops &lt; 2070 }
			add_modifier = { modifier = "buy_influence_drain_0600" days = -1 }
		}
		else_if = {
			limit = { num_pops &lt; 2370 }
			add_modifier = { modifier = "buy_influence_drain_0700" days = -1 }
		}
		else_if = {
			limit = { num_pops &lt; 2670 }
			add_modifier = { modifier = "buy_influence_drain_0800" days = -1 }
		}
		else_if = {
			limit = { num_pops &lt; 2970 }
			add_modifier = { modifier = "buy_influence_drain_0900" days = -1 }
		}
		else = {
			add_modifier = { modifier = "buy_influence_drain_1000" days = -1 }
		}
	}
</v>
      </c>
      <c r="X3" s="5" t="str">
        <f t="shared" si="1"/>
        <v xml:space="preserve">	option = {
		name = {
			trigger = {
				switch = {
					trigger = has_country_flag
					buy_influence_current_level_1point5 = buy_influence.100.1point5.renew
					default = buy_influence.100.1point5.buy
				}
			}
		}
		hidden_effect = { set_country_flag = buy_influence_started_1point5 }
		add_modifier = { modifier = "buy_influence_1point5" days = -1 }
		if = {
			limit = { num_pops &lt; 42 }
			add_modifier = { modifier = "buy_influence_drain_0030" days = -1 }
		}
		else_if = {
			limit = { num_pops &lt; 54 }
			add_modifier = { modifier = "buy_influence_drain_0036" days = -1 }
		}
		else_if = {
			limit = { num_pops &lt; 66 }
			add_modifier = { modifier = "buy_influence_drain_0042" days = -1 }
		}
		else_if = {
			limit = { num_pops &lt; 78 }
			add_modifier = { modifier = "buy_influence_drain_0048" days = -1 }
		}
		else_if = {
			limit = { num_pops &lt; 90 }
			add_modifier = { modifier = "buy_influence_drain_0054" days = -1 }
		}
		else_if = {
			limit = { num_pops &lt; 120 }
			add_modifier = { modifier = "buy_influence_drain_0060" days = -1 }
		}
		else_if = {
			limit = { num_pops &lt; 150 }
			add_modifier = { modifier = "buy_influence_drain_0075" days = -1 }
		}
		else_if = {
			limit = { num_pops &lt; 180 }
			add_modifier = { modifier = "buy_influence_drain_0090" days = -1 }
		}
		else_if = {
			limit = { num_pops &lt; 210 }
			add_modifier = { modifier = "buy_influence_drain_0105" days = -1 }
		}
		else_if = {
			limit = { num_pops &lt; 240 }
			add_modifier = { modifier = "buy_influence_drain_0120" days = -1 }
		}
		else_if = {
			limit = { num_pops &lt; 270 }
			add_modifier = { modifier = "buy_influence_drain_0135" days = -1 }
		}
		else_if = {
			limit = { num_pops &lt; 330 }
			add_modifier = { modifier = "buy_influence_drain_0150" days = -1 }
		}
		else_if = {
			limit = { num_pops &lt; 390 }
			add_modifier = { modifier = "buy_influence_drain_0180" days = -1 }
		}
		else_if = {
			limit = { num_pops &lt; 450 }
			add_modifier = { modifier = "buy_influence_drain_0210" days = -1 }
		}
		else_if = {
			limit = { num_pops &lt; 510 }
			add_modifier = { modifier = "buy_influence_drain_0240" days = -1 }
		}
		else_if = {
			limit = { num_pops &lt; 570 }
			add_modifier = { modifier = "buy_influence_drain_0270" days = -1 }
		}
		else_if = {
			limit = { num_pops &lt; 690 }
			add_modifier = { modifier = "buy_influence_drain_0300" days = -1 }
		}
		else_if = {
			limit = { num_pops &lt; 810 }
			add_modifier = { modifier = "buy_influence_drain_0360" days = -1 }
		}
		else_if = {
			limit = { num_pops &lt; 930 }
			add_modifier = { modifier = "buy_influence_drain_0420" days = -1 }
		}
		else_if = {
			limit = { num_pops &lt; 1050 }
			add_modifier = { modifier = "buy_influence_drain_0480" days = -1 }
		}
		else_if = {
			limit = { num_pops &lt; 1170 }
			add_modifier = { modifier = "buy_influence_drain_0540" days = -1 }
		}
		else_if = {
			limit = { num_pops &lt; 1470 }
			add_modifier = { modifier = "buy_influence_drain_0600" days = -1 }
		}
		else_if = {
			limit = { num_pops &lt; 1770 }
			add_modifier = { modifier = "buy_influence_drain_0750" days = -1 }
		}
		else_if = {
			limit = { num_pops &lt; 2070 }
			add_modifier = { modifier = "buy_influence_drain_0900" days = -1 }
		}
		else_if = {
			limit = { num_pops &lt; 2370 }
			add_modifier = { modifier = "buy_influence_drain_1050" days = -1 }
		}
		else_if = {
			limit = { num_pops &lt; 2670 }
			add_modifier = { modifier = "buy_influence_drain_1200" days = -1 }
		}
		else_if = {
			limit = { num_pops &lt; 2970 }
			add_modifier = { modifier = "buy_influence_drain_1350" days = -1 }
		}
		else = {
			add_modifier = { modifier = "buy_influence_drain_1500" days = -1 }
		}
	}
</v>
      </c>
      <c r="Y3" s="5" t="str">
        <f t="shared" si="1"/>
        <v xml:space="preserve">	option = {
		name = {
			trigger = {
				switch = {
					trigger = has_country_flag
					buy_influence_current_level_2point0 = buy_influence.100.2point0.renew
					default = buy_influence.100.2point0.buy
				}
			}
		}
		hidden_effect = { set_country_flag = buy_influence_started_2point0 }
		add_modifier = { modifier = "buy_influence_2point0" days = -1 }
		if = {
			limit = { num_pops &lt; 42 }
			add_modifier = { modifier = "buy_influence_drain_0040" days = -1 }
		}
		else_if = {
			limit = { num_pops &lt; 54 }
			add_modifier = { modifier = "buy_influence_drain_0048" days = -1 }
		}
		else_if = {
			limit = { num_pops &lt; 66 }
			add_modifier = { modifier = "buy_influence_drain_0056" days = -1 }
		}
		else_if = {
			limit = { num_pops &lt; 78 }
			add_modifier = { modifier = "buy_influence_drain_0064" days = -1 }
		}
		else_if = {
			limit = { num_pops &lt; 90 }
			add_modifier = { modifier = "buy_influence_drain_0072" days = -1 }
		}
		else_if = {
			limit = { num_pops &lt; 120 }
			add_modifier = { modifier = "buy_influence_drain_0080" days = -1 }
		}
		else_if = {
			limit = { num_pops &lt; 150 }
			add_modifier = { modifier = "buy_influence_drain_0100" days = -1 }
		}
		else_if = {
			limit = { num_pops &lt; 180 }
			add_modifier = { modifier = "buy_influence_drain_0120" days = -1 }
		}
		else_if = {
			limit = { num_pops &lt; 210 }
			add_modifier = { modifier = "buy_influence_drain_0140" days = -1 }
		}
		else_if = {
			limit = { num_pops &lt; 240 }
			add_modifier = { modifier = "buy_influence_drain_0160" days = -1 }
		}
		else_if = {
			limit = { num_pops &lt; 270 }
			add_modifier = { modifier = "buy_influence_drain_0180" days = -1 }
		}
		else_if = {
			limit = { num_pops &lt; 330 }
			add_modifier = { modifier = "buy_influence_drain_0200" days = -1 }
		}
		else_if = {
			limit = { num_pops &lt; 390 }
			add_modifier = { modifier = "buy_influence_drain_0240" days = -1 }
		}
		else_if = {
			limit = { num_pops &lt; 450 }
			add_modifier = { modifier = "buy_influence_drain_0280" days = -1 }
		}
		else_if = {
			limit = { num_pops &lt; 510 }
			add_modifier = { modifier = "buy_influence_drain_0320" days = -1 }
		}
		else_if = {
			limit = { num_pops &lt; 570 }
			add_modifier = { modifier = "buy_influence_drain_0360" days = -1 }
		}
		else_if = {
			limit = { num_pops &lt; 690 }
			add_modifier = { modifier = "buy_influence_drain_0400" days = -1 }
		}
		else_if = {
			limit = { num_pops &lt; 810 }
			add_modifier = { modifier = "buy_influence_drain_0480" days = -1 }
		}
		else_if = {
			limit = { num_pops &lt; 930 }
			add_modifier = { modifier = "buy_influence_drain_0560" days = -1 }
		}
		else_if = {
			limit = { num_pops &lt; 1050 }
			add_modifier = { modifier = "buy_influence_drain_0640" days = -1 }
		}
		else_if = {
			limit = { num_pops &lt; 1170 }
			add_modifier = { modifier = "buy_influence_drain_0720" days = -1 }
		}
		else_if = {
			limit = { num_pops &lt; 1470 }
			add_modifier = { modifier = "buy_influence_drain_0800" days = -1 }
		}
		else_if = {
			limit = { num_pops &lt; 1770 }
			add_modifier = { modifier = "buy_influence_drain_1000" days = -1 }
		}
		else_if = {
			limit = { num_pops &lt; 2070 }
			add_modifier = { modifier = "buy_influence_drain_1200" days = -1 }
		}
		else_if = {
			limit = { num_pops &lt; 2370 }
			add_modifier = { modifier = "buy_influence_drain_1400" days = -1 }
		}
		else_if = {
			limit = { num_pops &lt; 2670 }
			add_modifier = { modifier = "buy_influence_drain_1600" days = -1 }
		}
		else_if = {
			limit = { num_pops &lt; 2970 }
			add_modifier = { modifier = "buy_influence_drain_1800" days = -1 }
		}
		else = {
			add_modifier = { modifier = "buy_influence_drain_2000" days = -1 }
		}
	}
</v>
      </c>
      <c r="Z3" s="1" t="str">
        <f>V3&amp;W3&amp;X3&amp;Y3</f>
        <v xml:space="preserve">	option = {
		name = {
			trigger = {
				switch = {
					trigger = has_country_flag
					buy_influence_current_level_0point5 = buy_influence.100.0point5.renew
					default = buy_influence.100.0point5.buy
				}
			}
		}
		hidden_effect = { set_country_flag = buy_influence_started_0point5 }
		add_modifier = { modifier = "buy_influence_0point5" days = -1 }
		if = {
			limit = { num_pops &lt; 42 }
			add_modifier = { modifier = "buy_influence_drain_0010" days = -1 }
		}
		else_if = {
			limit = { num_pops &lt; 54 }
			add_modifier = { modifier = "buy_influence_drain_0012" days = -1 }
		}
		else_if = {
			limit = { num_pops &lt; 66 }
			add_modifier = { modifier = "buy_influence_drain_0014" days = -1 }
		}
		else_if = {
			limit = { num_pops &lt; 78 }
			add_modifier = { modifier = "buy_influence_drain_0016" days = -1 }
		}
		else_if = {
			limit = { num_pops &lt; 90 }
			add_modifier = { modifier = "buy_influence_drain_0018" days = -1 }
		}
		else_if = {
			limit = { num_pops &lt; 120 }
			add_modifier = { modifier = "buy_influence_drain_0020" days = -1 }
		}
		else_if = {
			limit = { num_pops &lt; 150 }
			add_modifier = { modifier = "buy_influence_drain_0025" days = -1 }
		}
		else_if = {
			limit = { num_pops &lt; 180 }
			add_modifier = { modifier = "buy_influence_drain_0030" days = -1 }
		}
		else_if = {
			limit = { num_pops &lt; 210 }
			add_modifier = { modifier = "buy_influence_drain_0035" days = -1 }
		}
		else_if = {
			limit = { num_pops &lt; 240 }
			add_modifier = { modifier = "buy_influence_drain_0040" days = -1 }
		}
		else_if = {
			limit = { num_pops &lt; 270 }
			add_modifier = { modifier = "buy_influence_drain_0045" days = -1 }
		}
		else_if = {
			limit = { num_pops &lt; 330 }
			add_modifier = { modifier = "buy_influence_drain_0050" days = -1 }
		}
		else_if = {
			limit = { num_pops &lt; 390 }
			add_modifier = { modifier = "buy_influence_drain_0060" days = -1 }
		}
		else_if = {
			limit = { num_pops &lt; 450 }
			add_modifier = { modifier = "buy_influence_drain_0070" days = -1 }
		}
		else_if = {
			limit = { num_pops &lt; 510 }
			add_modifier = { modifier = "buy_influence_drain_0080" days = -1 }
		}
		else_if = {
			limit = { num_pops &lt; 570 }
			add_modifier = { modifier = "buy_influence_drain_0090" days = -1 }
		}
		else_if = {
			limit = { num_pops &lt; 690 }
			add_modifier = { modifier = "buy_influence_drain_0100" days = -1 }
		}
		else_if = {
			limit = { num_pops &lt; 810 }
			add_modifier = { modifier = "buy_influence_drain_0120" days = -1 }
		}
		else_if = {
			limit = { num_pops &lt; 930 }
			add_modifier = { modifier = "buy_influence_drain_0140" days = -1 }
		}
		else_if = {
			limit = { num_pops &lt; 1050 }
			add_modifier = { modifier = "buy_influence_drain_0160" days = -1 }
		}
		else_if = {
			limit = { num_pops &lt; 1170 }
			add_modifier = { modifier = "buy_influence_drain_0180" days = -1 }
		}
		else_if = {
			limit = { num_pops &lt; 1470 }
			add_modifier = { modifier = "buy_influence_drain_0200" days = -1 }
		}
		else_if = {
			limit = { num_pops &lt; 1770 }
			add_modifier = { modifier = "buy_influence_drain_0250" days = -1 }
		}
		else_if = {
			limit = { num_pops &lt; 2070 }
			add_modifier = { modifier = "buy_influence_drain_0300" days = -1 }
		}
		else_if = {
			limit = { num_pops &lt; 2370 }
			add_modifier = { modifier = "buy_influence_drain_0350" days = -1 }
		}
		else_if = {
			limit = { num_pops &lt; 2670 }
			add_modifier = { modifier = "buy_influence_drain_0400" days = -1 }
		}
		else_if = {
			limit = { num_pops &lt; 2970 }
			add_modifier = { modifier = "buy_influence_drain_0450" days = -1 }
		}
		else = {
			add_modifier = { modifier = "buy_influence_drain_0500" days = -1 }
		}
	}
	option = {
		name = {
			trigger = {
				switch = {
					trigger = has_country_flag
					buy_influence_current_level_1point0 = buy_influence.100.1point0.renew
					default = buy_influence.100.1point0.buy
				}
			}
		}
		hidden_effect = { set_country_flag = buy_influence_started_1point0 }
		add_modifier = { modifier = "buy_influence_1point0" days = -1 }
		if = {
			limit = { num_pops &lt; 42 }
			add_modifier = { modifier = "buy_influence_drain_0020" days = -1 }
		}
		else_if = {
			limit = { num_pops &lt; 54 }
			add_modifier = { modifier = "buy_influence_drain_0024" days = -1 }
		}
		else_if = {
			limit = { num_pops &lt; 66 }
			add_modifier = { modifier = "buy_influence_drain_0028" days = -1 }
		}
		else_if = {
			limit = { num_pops &lt; 78 }
			add_modifier = { modifier = "buy_influence_drain_0032" days = -1 }
		}
		else_if = {
			limit = { num_pops &lt; 90 }
			add_modifier = { modifier = "buy_influence_drain_0036" days = -1 }
		}
		else_if = {
			limit = { num_pops &lt; 120 }
			add_modifier = { modifier = "buy_influence_drain_0040" days = -1 }
		}
		else_if = {
			limit = { num_pops &lt; 150 }
			add_modifier = { modifier = "buy_influence_drain_0050" days = -1 }
		}
		else_if = {
			limit = { num_pops &lt; 180 }
			add_modifier = { modifier = "buy_influence_drain_0060" days = -1 }
		}
		else_if = {
			limit = { num_pops &lt; 210 }
			add_modifier = { modifier = "buy_influence_drain_0070" days = -1 }
		}
		else_if = {
			limit = { num_pops &lt; 240 }
			add_modifier = { modifier = "buy_influence_drain_0080" days = -1 }
		}
		else_if = {
			limit = { num_pops &lt; 270 }
			add_modifier = { modifier = "buy_influence_drain_0090" days = -1 }
		}
		else_if = {
			limit = { num_pops &lt; 330 }
			add_modifier = { modifier = "buy_influence_drain_0100" days = -1 }
		}
		else_if = {
			limit = { num_pops &lt; 390 }
			add_modifier = { modifier = "buy_influence_drain_0120" days = -1 }
		}
		else_if = {
			limit = { num_pops &lt; 450 }
			add_modifier = { modifier = "buy_influence_drain_0140" days = -1 }
		}
		else_if = {
			limit = { num_pops &lt; 510 }
			add_modifier = { modifier = "buy_influence_drain_0160" days = -1 }
		}
		else_if = {
			limit = { num_pops &lt; 570 }
			add_modifier = { modifier = "buy_influence_drain_0180" days = -1 }
		}
		else_if = {
			limit = { num_pops &lt; 690 }
			add_modifier = { modifier = "buy_influence_drain_0200" days = -1 }
		}
		else_if = {
			limit = { num_pops &lt; 810 }
			add_modifier = { modifier = "buy_influence_drain_0240" days = -1 }
		}
		else_if = {
			limit = { num_pops &lt; 930 }
			add_modifier = { modifier = "buy_influence_drain_0280" days = -1 }
		}
		else_if = {
			limit = { num_pops &lt; 1050 }
			add_modifier = { modifier = "buy_influence_drain_0320" days = -1 }
		}
		else_if = {
			limit = { num_pops &lt; 1170 }
			add_modifier = { modifier = "buy_influence_drain_0360" days = -1 }
		}
		else_if = {
			limit = { num_pops &lt; 1470 }
			add_modifier = { modifier = "buy_influence_drain_0400" days = -1 }
		}
		else_if = {
			limit = { num_pops &lt; 1770 }
			add_modifier = { modifier = "buy_influence_drain_0500" days = -1 }
		}
		else_if = {
			limit = { num_pops &lt; 2070 }
			add_modifier = { modifier = "buy_influence_drain_0600" days = -1 }
		}
		else_if = {
			limit = { num_pops &lt; 2370 }
			add_modifier = { modifier = "buy_influence_drain_0700" days = -1 }
		}
		else_if = {
			limit = { num_pops &lt; 2670 }
			add_modifier = { modifier = "buy_influence_drain_0800" days = -1 }
		}
		else_if = {
			limit = { num_pops &lt; 2970 }
			add_modifier = { modifier = "buy_influence_drain_0900" days = -1 }
		}
		else = {
			add_modifier = { modifier = "buy_influence_drain_1000" days = -1 }
		}
	}
	option = {
		name = {
			trigger = {
				switch = {
					trigger = has_country_flag
					buy_influence_current_level_1point5 = buy_influence.100.1point5.renew
					default = buy_influence.100.1point5.buy
				}
			}
		}
		hidden_effect = { set_country_flag = buy_influence_started_1point5 }
		add_modifier = { modifier = "buy_influence_1point5" days = -1 }
		if = {
			limit = { num_pops &lt; 42 }
			add_modifier = { modifier = "buy_influence_drain_0030" days = -1 }
		}
		else_if = {
			limit = { num_pops &lt; 54 }
			add_modifier = { modifier = "buy_influence_drain_0036" days = -1 }
		}
		else_if = {
			limit = { num_pops &lt; 66 }
			add_modifier = { modifier = "buy_influence_drain_0042" days = -1 }
		}
		else_if = {
			limit = { num_pops &lt; 78 }
			add_modifier = { modifier = "buy_influence_drain_0048" days = -1 }
		}
		else_if = {
			limit = { num_pops &lt; 90 }
			add_modifier = { modifier = "buy_influence_drain_0054" days = -1 }
		}
		else_if = {
			limit = { num_pops &lt; 120 }
			add_modifier = { modifier = "buy_influence_drain_0060" days = -1 }
		}
		else_if = {
			limit = { num_pops &lt; 150 }
			add_modifier = { modifier = "buy_influence_drain_0075" days = -1 }
		}
		else_if = {
			limit = { num_pops &lt; 180 }
			add_modifier = { modifier = "buy_influence_drain_0090" days = -1 }
		}
		else_if = {
			limit = { num_pops &lt; 210 }
			add_modifier = { modifier = "buy_influence_drain_0105" days = -1 }
		}
		else_if = {
			limit = { num_pops &lt; 240 }
			add_modifier = { modifier = "buy_influence_drain_0120" days = -1 }
		}
		else_if = {
			limit = { num_pops &lt; 270 }
			add_modifier = { modifier = "buy_influence_drain_0135" days = -1 }
		}
		else_if = {
			limit = { num_pops &lt; 330 }
			add_modifier = { modifier = "buy_influence_drain_0150" days = -1 }
		}
		else_if = {
			limit = { num_pops &lt; 390 }
			add_modifier = { modifier = "buy_influence_drain_0180" days = -1 }
		}
		else_if = {
			limit = { num_pops &lt; 450 }
			add_modifier = { modifier = "buy_influence_drain_0210" days = -1 }
		}
		else_if = {
			limit = { num_pops &lt; 510 }
			add_modifier = { modifier = "buy_influence_drain_0240" days = -1 }
		}
		else_if = {
			limit = { num_pops &lt; 570 }
			add_modifier = { modifier = "buy_influence_drain_0270" days = -1 }
		}
		else_if = {
			limit = { num_pops &lt; 690 }
			add_modifier = { modifier = "buy_influence_drain_0300" days = -1 }
		}
		else_if = {
			limit = { num_pops &lt; 810 }
			add_modifier = { modifier = "buy_influence_drain_0360" days = -1 }
		}
		else_if = {
			limit = { num_pops &lt; 930 }
			add_modifier = { modifier = "buy_influence_drain_0420" days = -1 }
		}
		else_if = {
			limit = { num_pops &lt; 1050 }
			add_modifier = { modifier = "buy_influence_drain_0480" days = -1 }
		}
		else_if = {
			limit = { num_pops &lt; 1170 }
			add_modifier = { modifier = "buy_influence_drain_0540" days = -1 }
		}
		else_if = {
			limit = { num_pops &lt; 1470 }
			add_modifier = { modifier = "buy_influence_drain_0600" days = -1 }
		}
		else_if = {
			limit = { num_pops &lt; 1770 }
			add_modifier = { modifier = "buy_influence_drain_0750" days = -1 }
		}
		else_if = {
			limit = { num_pops &lt; 2070 }
			add_modifier = { modifier = "buy_influence_drain_0900" days = -1 }
		}
		else_if = {
			limit = { num_pops &lt; 2370 }
			add_modifier = { modifier = "buy_influence_drain_1050" days = -1 }
		}
		else_if = {
			limit = { num_pops &lt; 2670 }
			add_modifier = { modifier = "buy_influence_drain_1200" days = -1 }
		}
		else_if = {
			limit = { num_pops &lt; 2970 }
			add_modifier = { modifier = "buy_influence_drain_1350" days = -1 }
		}
		else = {
			add_modifier = { modifier = "buy_influence_drain_1500" days = -1 }
		}
	}
	option = {
		name = {
			trigger = {
				switch = {
					trigger = has_country_flag
					buy_influence_current_level_2point0 = buy_influence.100.2point0.renew
					default = buy_influence.100.2point0.buy
				}
			}
		}
		hidden_effect = { set_country_flag = buy_influence_started_2point0 }
		add_modifier = { modifier = "buy_influence_2point0" days = -1 }
		if = {
			limit = { num_pops &lt; 42 }
			add_modifier = { modifier = "buy_influence_drain_0040" days = -1 }
		}
		else_if = {
			limit = { num_pops &lt; 54 }
			add_modifier = { modifier = "buy_influence_drain_0048" days = -1 }
		}
		else_if = {
			limit = { num_pops &lt; 66 }
			add_modifier = { modifier = "buy_influence_drain_0056" days = -1 }
		}
		else_if = {
			limit = { num_pops &lt; 78 }
			add_modifier = { modifier = "buy_influence_drain_0064" days = -1 }
		}
		else_if = {
			limit = { num_pops &lt; 90 }
			add_modifier = { modifier = "buy_influence_drain_0072" days = -1 }
		}
		else_if = {
			limit = { num_pops &lt; 120 }
			add_modifier = { modifier = "buy_influence_drain_0080" days = -1 }
		}
		else_if = {
			limit = { num_pops &lt; 150 }
			add_modifier = { modifier = "buy_influence_drain_0100" days = -1 }
		}
		else_if = {
			limit = { num_pops &lt; 180 }
			add_modifier = { modifier = "buy_influence_drain_0120" days = -1 }
		}
		else_if = {
			limit = { num_pops &lt; 210 }
			add_modifier = { modifier = "buy_influence_drain_0140" days = -1 }
		}
		else_if = {
			limit = { num_pops &lt; 240 }
			add_modifier = { modifier = "buy_influence_drain_0160" days = -1 }
		}
		else_if = {
			limit = { num_pops &lt; 270 }
			add_modifier = { modifier = "buy_influence_drain_0180" days = -1 }
		}
		else_if = {
			limit = { num_pops &lt; 330 }
			add_modifier = { modifier = "buy_influence_drain_0200" days = -1 }
		}
		else_if = {
			limit = { num_pops &lt; 390 }
			add_modifier = { modifier = "buy_influence_drain_0240" days = -1 }
		}
		else_if = {
			limit = { num_pops &lt; 450 }
			add_modifier = { modifier = "buy_influence_drain_0280" days = -1 }
		}
		else_if = {
			limit = { num_pops &lt; 510 }
			add_modifier = { modifier = "buy_influence_drain_0320" days = -1 }
		}
		else_if = {
			limit = { num_pops &lt; 570 }
			add_modifier = { modifier = "buy_influence_drain_0360" days = -1 }
		}
		else_if = {
			limit = { num_pops &lt; 690 }
			add_modifier = { modifier = "buy_influence_drain_0400" days = -1 }
		}
		else_if = {
			limit = { num_pops &lt; 810 }
			add_modifier = { modifier = "buy_influence_drain_0480" days = -1 }
		}
		else_if = {
			limit = { num_pops &lt; 930 }
			add_modifier = { modifier = "buy_influence_drain_0560" days = -1 }
		}
		else_if = {
			limit = { num_pops &lt; 1050 }
			add_modifier = { modifier = "buy_influence_drain_0640" days = -1 }
		}
		else_if = {
			limit = { num_pops &lt; 1170 }
			add_modifier = { modifier = "buy_influence_drain_0720" days = -1 }
		}
		else_if = {
			limit = { num_pops &lt; 1470 }
			add_modifier = { modifier = "buy_influence_drain_0800" days = -1 }
		}
		else_if = {
			limit = { num_pops &lt; 1770 }
			add_modifier = { modifier = "buy_influence_drain_1000" days = -1 }
		}
		else_if = {
			limit = { num_pops &lt; 2070 }
			add_modifier = { modifier = "buy_influence_drain_1200" days = -1 }
		}
		else_if = {
			limit = { num_pops &lt; 2370 }
			add_modifier = { modifier = "buy_influence_drain_1400" days = -1 }
		}
		else_if = {
			limit = { num_pops &lt; 2670 }
			add_modifier = { modifier = "buy_influence_drain_1600" days = -1 }
		}
		else_if = {
			limit = { num_pops &lt; 2970 }
			add_modifier = { modifier = "buy_influence_drain_1800" days = -1 }
		}
		else = {
			add_modifier = { modifier = "buy_influence_drain_2000" days = -1 }
		}
	}
</v>
      </c>
    </row>
    <row r="4" spans="2:26" ht="14.65" thickBot="1" x14ac:dyDescent="0.5">
      <c r="B4" s="15" t="s">
        <v>3</v>
      </c>
      <c r="C4" s="17" t="s">
        <v>4</v>
      </c>
      <c r="D4" s="28"/>
      <c r="E4" s="15">
        <v>0.5</v>
      </c>
      <c r="F4" s="16">
        <v>1</v>
      </c>
      <c r="G4" s="16">
        <v>1.5</v>
      </c>
      <c r="H4" s="17">
        <v>2</v>
      </c>
      <c r="J4">
        <v>5</v>
      </c>
      <c r="K4">
        <f>INDEX(D:D,MATCH(J4,B:B,1))</f>
        <v>1</v>
      </c>
      <c r="V4" t="s">
        <v>11</v>
      </c>
      <c r="W4" t="s">
        <v>12</v>
      </c>
      <c r="X4" t="s">
        <v>13</v>
      </c>
      <c r="Y4" t="s">
        <v>14</v>
      </c>
    </row>
    <row r="5" spans="2:26" x14ac:dyDescent="0.45">
      <c r="B5" s="18">
        <v>0</v>
      </c>
      <c r="C5" s="19">
        <f>B6-1</f>
        <v>41</v>
      </c>
      <c r="D5" s="29">
        <v>1</v>
      </c>
      <c r="E5" s="18">
        <f t="array" ref="E5:H32">D5:D32*E1:H1</f>
        <v>10</v>
      </c>
      <c r="F5" s="36">
        <v>20</v>
      </c>
      <c r="G5" s="36">
        <v>30</v>
      </c>
      <c r="H5" s="19">
        <v>40</v>
      </c>
      <c r="J5">
        <v>10</v>
      </c>
      <c r="K5">
        <f>INDEX(D:D,MATCH(J5,B:B,1))</f>
        <v>1</v>
      </c>
      <c r="O5" t="str">
        <f>CHAR(9) &amp; CHAR(9) &amp; CHAR(9) &amp; IF(ROW(O4)=ROW(O$4),"","else_") &amp; "if = {
" &amp; CHAR(9) &amp; CHAR(9) &amp; CHAR(9) &amp; CHAR(9) &amp; "limit = { NOT = { " &amp; IF($B6&lt;&gt;"", "AND = { num_pops &gt; " &amp; IF($B5=0,0,$B5-1) &amp; " num_pops &lt; " &amp; $B6 &amp; " ", "") &amp; "has_modifier = buy_influence_drain_" &amp; IF(E5&lt;100,"00",IF(E5&lt;1000,"0","")) &amp; E5 &amp; " "&amp; IF($B6&lt;&gt;"","}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IF(E5&lt;100,"00",IF(E5&lt;1000,"0","")) &amp; E5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buy_influence_drain_0010 } } }
				if = {
					limit = { has_country_flag = buy_influence_auto_renew }
					country_event = { id = buy_influence.300 }
					add_modifier = { modifier = "buy_influence_drain_0010" days = -1 } }
				}
				else = {
					country_event = { id = buy_influence.100 }
				}
			}
</v>
      </c>
      <c r="P5" t="str">
        <f>CHAR(9) &amp; CHAR(9) &amp; CHAR(9) &amp; IF(ROW(P4)=ROW(P$4),"","else_") &amp; "if = {
" &amp; CHAR(9) &amp; CHAR(9) &amp; CHAR(9) &amp; CHAR(9) &amp; "limit = { NOT = { " &amp; IF($B6&lt;&gt;"", "AND = { num_pops &gt; " &amp; IF($B5=0,0,$B5-1) &amp; " num_pops &lt; " &amp; $B6 &amp; " ", "") &amp; "has_modifier = buy_influence_drain_" &amp; IF(F5&lt;100,"00",IF(F5&lt;1000,"0","")) &amp; F5 &amp; " "&amp; IF($B6&lt;&gt;"","}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IF(F5&lt;100,"00",IF(F5&lt;1000,"0","")) &amp; F5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</v>
      </c>
      <c r="Q5" t="str">
        <f>CHAR(9) &amp; CHAR(9) &amp; CHAR(9) &amp; IF(ROW(Q4)=ROW(Q$4),"","else_") &amp; "if = {
" &amp; CHAR(9) &amp; CHAR(9) &amp; CHAR(9) &amp; CHAR(9) &amp; "limit = { NOT = { " &amp; IF($B6&lt;&gt;"", "AND = { num_pops &gt; " &amp; IF($B5=0,0,$B5-1) &amp; " num_pops &lt; " &amp; $B6 &amp; " ", "") &amp; "has_modifier = buy_influence_drain_" &amp; IF(G5&lt;100,"00",IF(G5&lt;1000,"0","")) &amp; G5 &amp; " "&amp; IF($B6&lt;&gt;"","}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IF(G5&lt;100,"00",IF(G5&lt;1000,"0","")) &amp; G5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</v>
      </c>
      <c r="R5" t="str">
        <f>CHAR(9) &amp; CHAR(9) &amp; CHAR(9) &amp; IF(ROW(R4)=ROW(R$4),"","else_") &amp; "if = {
" &amp; CHAR(9) &amp; CHAR(9) &amp; CHAR(9) &amp; CHAR(9) &amp; "limit = { NOT = { " &amp; IF($B6&lt;&gt;"", "AND = { num_pops &gt; " &amp; IF($B5=0,0,$B5-1) &amp; " num_pops &lt; " &amp; $B6 &amp; " ", "") &amp; "has_modifier = buy_influence_drain_" &amp; IF(H5&lt;100,"00",IF(H5&lt;1000,"0","")) &amp; H5 &amp; " "&amp; IF($B6&lt;&gt;"","}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IF(H5&lt;100,"00",IF(H5&lt;1000,"0","")) &amp; H5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if = {
				limit = { NOT = { AND = { num_pops &gt; 0 num_pops &lt; 42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V5" t="str">
        <f>CHAR(9) &amp; CHAR(9) &amp; IF($B6="","else",IF(ROW(V4)=ROW(V$4),"if","else_if")) &amp; " = {
" &amp; IF($B6="","",CHAR(9) &amp; CHAR(9) &amp; CHAR(9) &amp; "limit = { num_pops &lt; " &amp; $B6 &amp; " }
") &amp; CHAR(9) &amp; CHAR(9) &amp; CHAR(9) &amp; "add_modifier = { modifier = ""buy_influence_drain_" &amp; IF(E5&lt;100,"00",IF(E5&lt;1000,"0","")) &amp; E5 &amp; """ days = -1 }
" &amp; CHAR(9) &amp; CHAR(9) &amp; "}
"</f>
        <v xml:space="preserve">		if = {
			limit = { num_pops &lt; 42 }
			add_modifier = { modifier = "buy_influence_drain_0010" days = -1 }
		}
</v>
      </c>
      <c r="W5" t="str">
        <f>CHAR(9) &amp; CHAR(9) &amp; IF($B6="","else",IF(ROW(W4)=ROW(W$4),"if","else_if")) &amp; " = {
" &amp; IF($B6="","",CHAR(9) &amp; CHAR(9) &amp; CHAR(9) &amp; "limit = { num_pops &lt; " &amp; $B6 &amp; " }
") &amp; CHAR(9) &amp; CHAR(9) &amp; CHAR(9) &amp; "add_modifier = { modifier = ""buy_influence_drain_" &amp; IF(F5&lt;100,"00",IF(F5&lt;1000,"0","")) &amp; F5 &amp; """ days = -1 }
" &amp; CHAR(9) &amp; CHAR(9) &amp; "}
"</f>
        <v xml:space="preserve">		if = {
			limit = { num_pops &lt; 42 }
			add_modifier = { modifier = "buy_influence_drain_0020" days = -1 }
		}
</v>
      </c>
      <c r="X5" t="str">
        <f>CHAR(9) &amp; CHAR(9) &amp; IF($B6="","else",IF(ROW(X4)=ROW(X$4),"if","else_if")) &amp; " = {
" &amp; IF($B6="","",CHAR(9) &amp; CHAR(9) &amp; CHAR(9) &amp; "limit = { num_pops &lt; " &amp; $B6 &amp; " }
") &amp; CHAR(9) &amp; CHAR(9) &amp; CHAR(9) &amp; "add_modifier = { modifier = ""buy_influence_drain_" &amp; IF(G5&lt;100,"00",IF(G5&lt;1000,"0","")) &amp; G5 &amp; """ days = -1 }
" &amp; CHAR(9) &amp; CHAR(9) &amp; "}
"</f>
        <v xml:space="preserve">		if = {
			limit = { num_pops &lt; 42 }
			add_modifier = { modifier = "buy_influence_drain_0030" days = -1 }
		}
</v>
      </c>
      <c r="Y5" t="str">
        <f>CHAR(9) &amp; CHAR(9) &amp; IF($B6="","else",IF(ROW(Y4)=ROW(Y$4),"if","else_if")) &amp; " = {
" &amp; IF($B6="","",CHAR(9) &amp; CHAR(9) &amp; CHAR(9) &amp; "limit = { num_pops &lt; " &amp; $B6 &amp; " }
") &amp; CHAR(9) &amp; CHAR(9) &amp; CHAR(9) &amp; "add_modifier = { modifier = ""buy_influence_drain_" &amp; IF(H5&lt;100,"00",IF(H5&lt;1000,"0","")) &amp; H5 &amp; """ days = -1 }
" &amp; CHAR(9) &amp; CHAR(9) &amp; "}
"</f>
        <v xml:space="preserve">		if = {
			limit = { num_pops &lt; 42 }
			add_modifier = { modifier = "buy_influence_drain_0040" days = -1 }
		}
</v>
      </c>
    </row>
    <row r="6" spans="2:26" x14ac:dyDescent="0.45">
      <c r="B6" s="18">
        <v>42</v>
      </c>
      <c r="C6" s="19">
        <f>B7-1</f>
        <v>53</v>
      </c>
      <c r="D6" s="30">
        <f>D5+0.2</f>
        <v>1.2</v>
      </c>
      <c r="E6" s="18">
        <v>12</v>
      </c>
      <c r="F6" s="36">
        <v>24</v>
      </c>
      <c r="G6" s="36">
        <v>36</v>
      </c>
      <c r="H6" s="19">
        <v>48</v>
      </c>
      <c r="J6">
        <v>15</v>
      </c>
      <c r="K6">
        <f>INDEX(D:D,MATCH(J6,B:B,1))</f>
        <v>1</v>
      </c>
      <c r="O6" t="str">
        <f>CHAR(9) &amp; CHAR(9) &amp; CHAR(9) &amp; IF(ROW(O5)=ROW(O$4),"","else_") &amp; "if = {
" &amp; CHAR(9) &amp; CHAR(9) &amp; CHAR(9) &amp; CHAR(9) &amp; "limit = { NOT = { " &amp; IF($B7&lt;&gt;"", "AND = { num_pops &gt; " &amp; IF($B6=0,0,$B6-1) &amp; " num_pops &lt; " &amp; $B7 &amp; " ", "") &amp; "has_modifier = buy_influence_drain_" &amp; IF(E6&lt;100,"00",IF(E6&lt;1000,"0","")) &amp; E6 &amp; " "&amp; IF($B7&lt;&gt;"","}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IF(E6&lt;100,"00",IF(E6&lt;1000,"0","")) &amp; E6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41 num_pops &lt; 54 has_modifier = buy_influence_drain_0012 } } }
				if = {
					limit = { has_country_flag = buy_influence_auto_renew }
					country_event = { id = buy_influence.300 }
					add_modifier = { modifier = "buy_influence_drain_0012" days = -1 } }
				}
				else = {
					country_event = { id = buy_influence.100 }
				}
			}
</v>
      </c>
      <c r="P6" t="str">
        <f>CHAR(9) &amp; CHAR(9) &amp; CHAR(9) &amp; IF(ROW(P5)=ROW(P$4),"","else_") &amp; "if = {
" &amp; CHAR(9) &amp; CHAR(9) &amp; CHAR(9) &amp; CHAR(9) &amp; "limit = { NOT = { " &amp; IF($B7&lt;&gt;"", "AND = { num_pops &gt; " &amp; IF($B6=0,0,$B6-1) &amp; " num_pops &lt; " &amp; $B7 &amp; " ", "") &amp; "has_modifier = buy_influence_drain_" &amp; IF(F6&lt;100,"00",IF(F6&lt;1000,"0","")) &amp; F6 &amp; " "&amp; IF($B7&lt;&gt;"","}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IF(F6&lt;100,"00",IF(F6&lt;1000,"0","")) &amp; F6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41 num_pops &lt; 54 has_modifier = buy_influence_drain_0024 } } }
				if = {
					limit = { has_country_flag = buy_influence_auto_renew }
					country_event = { id = buy_influence.300 }
					add_modifier = { modifier = "buy_influence_drain_0024" days = -1 } }
				}
				else = {
					country_event = { id = buy_influence.100 }
				}
			}
</v>
      </c>
      <c r="Q6" t="str">
        <f>CHAR(9) &amp; CHAR(9) &amp; CHAR(9) &amp; IF(ROW(Q5)=ROW(Q$4),"","else_") &amp; "if = {
" &amp; CHAR(9) &amp; CHAR(9) &amp; CHAR(9) &amp; CHAR(9) &amp; "limit = { NOT = { " &amp; IF($B7&lt;&gt;"", "AND = { num_pops &gt; " &amp; IF($B6=0,0,$B6-1) &amp; " num_pops &lt; " &amp; $B7 &amp; " ", "") &amp; "has_modifier = buy_influence_drain_" &amp; IF(G6&lt;100,"00",IF(G6&lt;1000,"0","")) &amp; G6 &amp; " "&amp; IF($B7&lt;&gt;"","}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IF(G6&lt;100,"00",IF(G6&lt;1000,"0","")) &amp; G6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41 num_pops &lt; 54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</v>
      </c>
      <c r="R6" t="str">
        <f>CHAR(9) &amp; CHAR(9) &amp; CHAR(9) &amp; IF(ROW(R5)=ROW(R$4),"","else_") &amp; "if = {
" &amp; CHAR(9) &amp; CHAR(9) &amp; CHAR(9) &amp; CHAR(9) &amp; "limit = { NOT = { " &amp; IF($B7&lt;&gt;"", "AND = { num_pops &gt; " &amp; IF($B6=0,0,$B6-1) &amp; " num_pops &lt; " &amp; $B7 &amp; " ", "") &amp; "has_modifier = buy_influence_drain_" &amp; IF(H6&lt;100,"00",IF(H6&lt;1000,"0","")) &amp; H6 &amp; " "&amp; IF($B7&lt;&gt;"","}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IF(H6&lt;100,"00",IF(H6&lt;1000,"0","")) &amp; H6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41 num_pops &lt; 54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</v>
      </c>
      <c r="V6" t="str">
        <f>CHAR(9) &amp; CHAR(9) &amp; IF($B7="","else",IF(ROW(V5)=ROW(V$4),"if","else_if")) &amp; " = {
" &amp; IF($B7="","",CHAR(9) &amp; CHAR(9) &amp; CHAR(9) &amp; "limit = { num_pops &lt; " &amp; $B7 &amp; " }
") &amp; CHAR(9) &amp; CHAR(9) &amp; CHAR(9) &amp; "add_modifier = { modifier = ""buy_influence_drain_" &amp; IF(E6&lt;100,"00",IF(E6&lt;1000,"0","")) &amp; E6 &amp; """ days = -1 }
" &amp; CHAR(9) &amp; CHAR(9) &amp; "}
"</f>
        <v xml:space="preserve">		else_if = {
			limit = { num_pops &lt; 54 }
			add_modifier = { modifier = "buy_influence_drain_0012" days = -1 }
		}
</v>
      </c>
      <c r="W6" t="str">
        <f>CHAR(9) &amp; CHAR(9) &amp; IF($B7="","else",IF(ROW(W5)=ROW(W$4),"if","else_if")) &amp; " = {
" &amp; IF($B7="","",CHAR(9) &amp; CHAR(9) &amp; CHAR(9) &amp; "limit = { num_pops &lt; " &amp; $B7 &amp; " }
") &amp; CHAR(9) &amp; CHAR(9) &amp; CHAR(9) &amp; "add_modifier = { modifier = ""buy_influence_drain_" &amp; IF(F6&lt;100,"00",IF(F6&lt;1000,"0","")) &amp; F6 &amp; """ days = -1 }
" &amp; CHAR(9) &amp; CHAR(9) &amp; "}
"</f>
        <v xml:space="preserve">		else_if = {
			limit = { num_pops &lt; 54 }
			add_modifier = { modifier = "buy_influence_drain_0024" days = -1 }
		}
</v>
      </c>
      <c r="X6" t="str">
        <f>CHAR(9) &amp; CHAR(9) &amp; IF($B7="","else",IF(ROW(X5)=ROW(X$4),"if","else_if")) &amp; " = {
" &amp; IF($B7="","",CHAR(9) &amp; CHAR(9) &amp; CHAR(9) &amp; "limit = { num_pops &lt; " &amp; $B7 &amp; " }
") &amp; CHAR(9) &amp; CHAR(9) &amp; CHAR(9) &amp; "add_modifier = { modifier = ""buy_influence_drain_" &amp; IF(G6&lt;100,"00",IF(G6&lt;1000,"0","")) &amp; G6 &amp; """ days = -1 }
" &amp; CHAR(9) &amp; CHAR(9) &amp; "}
"</f>
        <v xml:space="preserve">		else_if = {
			limit = { num_pops &lt; 54 }
			add_modifier = { modifier = "buy_influence_drain_0036" days = -1 }
		}
</v>
      </c>
      <c r="Y6" t="str">
        <f>CHAR(9) &amp; CHAR(9) &amp; IF($B7="","else",IF(ROW(Y5)=ROW(Y$4),"if","else_if")) &amp; " = {
" &amp; IF($B7="","",CHAR(9) &amp; CHAR(9) &amp; CHAR(9) &amp; "limit = { num_pops &lt; " &amp; $B7 &amp; " }
") &amp; CHAR(9) &amp; CHAR(9) &amp; CHAR(9) &amp; "add_modifier = { modifier = ""buy_influence_drain_" &amp; IF(H6&lt;100,"00",IF(H6&lt;1000,"0","")) &amp; H6 &amp; """ days = -1 }
" &amp; CHAR(9) &amp; CHAR(9) &amp; "}
"</f>
        <v xml:space="preserve">		else_if = {
			limit = { num_pops &lt; 54 }
			add_modifier = { modifier = "buy_influence_drain_0048" days = -1 }
		}
</v>
      </c>
    </row>
    <row r="7" spans="2:26" x14ac:dyDescent="0.45">
      <c r="B7" s="20">
        <f>B6+12</f>
        <v>54</v>
      </c>
      <c r="C7" s="19">
        <f>B8-1</f>
        <v>65</v>
      </c>
      <c r="D7" s="30">
        <f>D6+0.2</f>
        <v>1.4</v>
      </c>
      <c r="E7" s="18">
        <v>14</v>
      </c>
      <c r="F7" s="36">
        <v>28</v>
      </c>
      <c r="G7" s="36">
        <v>42</v>
      </c>
      <c r="H7" s="19">
        <v>56</v>
      </c>
      <c r="J7">
        <v>20</v>
      </c>
      <c r="K7">
        <f>INDEX(D:D,MATCH(J7,B:B,1))</f>
        <v>1</v>
      </c>
      <c r="O7" t="str">
        <f>CHAR(9) &amp; CHAR(9) &amp; CHAR(9) &amp; IF(ROW(O6)=ROW(O$4),"","else_") &amp; "if = {
" &amp; CHAR(9) &amp; CHAR(9) &amp; CHAR(9) &amp; CHAR(9) &amp; "limit = { NOT = { " &amp; IF($B8&lt;&gt;"", "AND = { num_pops &gt; " &amp; IF($B7=0,0,$B7-1) &amp; " num_pops &lt; " &amp; $B8 &amp; " ", "") &amp; "has_modifier = buy_influence_drain_" &amp; IF(E7&lt;100,"00",IF(E7&lt;1000,"0","")) &amp; E7 &amp; " "&amp; IF($B8&lt;&gt;"","}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IF(E7&lt;100,"00",IF(E7&lt;1000,"0","")) &amp; E7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53 num_pops &lt; 66 has_modifier = buy_influence_drain_0014 } } }
				if = {
					limit = { has_country_flag = buy_influence_auto_renew }
					country_event = { id = buy_influence.300 }
					add_modifier = { modifier = "buy_influence_drain_0014" days = -1 } }
				}
				else = {
					country_event = { id = buy_influence.100 }
				}
			}
</v>
      </c>
      <c r="P7" t="str">
        <f>CHAR(9) &amp; CHAR(9) &amp; CHAR(9) &amp; IF(ROW(P6)=ROW(P$4),"","else_") &amp; "if = {
" &amp; CHAR(9) &amp; CHAR(9) &amp; CHAR(9) &amp; CHAR(9) &amp; "limit = { NOT = { " &amp; IF($B8&lt;&gt;"", "AND = { num_pops &gt; " &amp; IF($B7=0,0,$B7-1) &amp; " num_pops &lt; " &amp; $B8 &amp; " ", "") &amp; "has_modifier = buy_influence_drain_" &amp; IF(F7&lt;100,"00",IF(F7&lt;1000,"0","")) &amp; F7 &amp; " "&amp; IF($B8&lt;&gt;"","}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IF(F7&lt;100,"00",IF(F7&lt;1000,"0","")) &amp; F7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53 num_pops &lt; 66 has_modifier = buy_influence_drain_0028 } } }
				if = {
					limit = { has_country_flag = buy_influence_auto_renew }
					country_event = { id = buy_influence.300 }
					add_modifier = { modifier = "buy_influence_drain_0028" days = -1 } }
				}
				else = {
					country_event = { id = buy_influence.100 }
				}
			}
</v>
      </c>
      <c r="Q7" t="str">
        <f>CHAR(9) &amp; CHAR(9) &amp; CHAR(9) &amp; IF(ROW(Q6)=ROW(Q$4),"","else_") &amp; "if = {
" &amp; CHAR(9) &amp; CHAR(9) &amp; CHAR(9) &amp; CHAR(9) &amp; "limit = { NOT = { " &amp; IF($B8&lt;&gt;"", "AND = { num_pops &gt; " &amp; IF($B7=0,0,$B7-1) &amp; " num_pops &lt; " &amp; $B8 &amp; " ", "") &amp; "has_modifier = buy_influence_drain_" &amp; IF(G7&lt;100,"00",IF(G7&lt;1000,"0","")) &amp; G7 &amp; " "&amp; IF($B8&lt;&gt;"","}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IF(G7&lt;100,"00",IF(G7&lt;1000,"0","")) &amp; G7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53 num_pops &lt; 66 has_modifier = buy_influence_drain_0042 } } }
				if = {
					limit = { has_country_flag = buy_influence_auto_renew }
					country_event = { id = buy_influence.300 }
					add_modifier = { modifier = "buy_influence_drain_0042" days = -1 } }
				}
				else = {
					country_event = { id = buy_influence.100 }
				}
			}
</v>
      </c>
      <c r="R7" t="str">
        <f>CHAR(9) &amp; CHAR(9) &amp; CHAR(9) &amp; IF(ROW(R6)=ROW(R$4),"","else_") &amp; "if = {
" &amp; CHAR(9) &amp; CHAR(9) &amp; CHAR(9) &amp; CHAR(9) &amp; "limit = { NOT = { " &amp; IF($B8&lt;&gt;"", "AND = { num_pops &gt; " &amp; IF($B7=0,0,$B7-1) &amp; " num_pops &lt; " &amp; $B8 &amp; " ", "") &amp; "has_modifier = buy_influence_drain_" &amp; IF(H7&lt;100,"00",IF(H7&lt;1000,"0","")) &amp; H7 &amp; " "&amp; IF($B8&lt;&gt;"","}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IF(H7&lt;100,"00",IF(H7&lt;1000,"0","")) &amp; H7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53 num_pops &lt; 66 has_modifier = buy_influence_drain_0056 } } }
				if = {
					limit = { has_country_flag = buy_influence_auto_renew }
					country_event = { id = buy_influence.300 }
					add_modifier = { modifier = "buy_influence_drain_0056" days = -1 } }
				}
				else = {
					country_event = { id = buy_influence.100 }
				}
			}
</v>
      </c>
      <c r="V7" t="str">
        <f>CHAR(9) &amp; CHAR(9) &amp; IF($B8="","else",IF(ROW(V6)=ROW(V$4),"if","else_if")) &amp; " = {
" &amp; IF($B8="","",CHAR(9) &amp; CHAR(9) &amp; CHAR(9) &amp; "limit = { num_pops &lt; " &amp; $B8 &amp; " }
") &amp; CHAR(9) &amp; CHAR(9) &amp; CHAR(9) &amp; "add_modifier = { modifier = ""buy_influence_drain_" &amp; IF(E7&lt;100,"00",IF(E7&lt;1000,"0","")) &amp; E7 &amp; """ days = -1 }
" &amp; CHAR(9) &amp; CHAR(9) &amp; "}
"</f>
        <v xml:space="preserve">		else_if = {
			limit = { num_pops &lt; 66 }
			add_modifier = { modifier = "buy_influence_drain_0014" days = -1 }
		}
</v>
      </c>
      <c r="W7" t="str">
        <f>CHAR(9) &amp; CHAR(9) &amp; IF($B8="","else",IF(ROW(W6)=ROW(W$4),"if","else_if")) &amp; " = {
" &amp; IF($B8="","",CHAR(9) &amp; CHAR(9) &amp; CHAR(9) &amp; "limit = { num_pops &lt; " &amp; $B8 &amp; " }
") &amp; CHAR(9) &amp; CHAR(9) &amp; CHAR(9) &amp; "add_modifier = { modifier = ""buy_influence_drain_" &amp; IF(F7&lt;100,"00",IF(F7&lt;1000,"0","")) &amp; F7 &amp; """ days = -1 }
" &amp; CHAR(9) &amp; CHAR(9) &amp; "}
"</f>
        <v xml:space="preserve">		else_if = {
			limit = { num_pops &lt; 66 }
			add_modifier = { modifier = "buy_influence_drain_0028" days = -1 }
		}
</v>
      </c>
      <c r="X7" t="str">
        <f>CHAR(9) &amp; CHAR(9) &amp; IF($B8="","else",IF(ROW(X6)=ROW(X$4),"if","else_if")) &amp; " = {
" &amp; IF($B8="","",CHAR(9) &amp; CHAR(9) &amp; CHAR(9) &amp; "limit = { num_pops &lt; " &amp; $B8 &amp; " }
") &amp; CHAR(9) &amp; CHAR(9) &amp; CHAR(9) &amp; "add_modifier = { modifier = ""buy_influence_drain_" &amp; IF(G7&lt;100,"00",IF(G7&lt;1000,"0","")) &amp; G7 &amp; """ days = -1 }
" &amp; CHAR(9) &amp; CHAR(9) &amp; "}
"</f>
        <v xml:space="preserve">		else_if = {
			limit = { num_pops &lt; 66 }
			add_modifier = { modifier = "buy_influence_drain_0042" days = -1 }
		}
</v>
      </c>
      <c r="Y7" t="str">
        <f>CHAR(9) &amp; CHAR(9) &amp; IF($B8="","else",IF(ROW(Y6)=ROW(Y$4),"if","else_if")) &amp; " = {
" &amp; IF($B8="","",CHAR(9) &amp; CHAR(9) &amp; CHAR(9) &amp; "limit = { num_pops &lt; " &amp; $B8 &amp; " }
") &amp; CHAR(9) &amp; CHAR(9) &amp; CHAR(9) &amp; "add_modifier = { modifier = ""buy_influence_drain_" &amp; IF(H7&lt;100,"00",IF(H7&lt;1000,"0","")) &amp; H7 &amp; """ days = -1 }
" &amp; CHAR(9) &amp; CHAR(9) &amp; "}
"</f>
        <v xml:space="preserve">		else_if = {
			limit = { num_pops &lt; 66 }
			add_modifier = { modifier = "buy_influence_drain_0056" days = -1 }
		}
</v>
      </c>
    </row>
    <row r="8" spans="2:26" x14ac:dyDescent="0.45">
      <c r="B8" s="20">
        <f>B7+12</f>
        <v>66</v>
      </c>
      <c r="C8" s="19">
        <f>B10-1</f>
        <v>89</v>
      </c>
      <c r="D8" s="30">
        <f>D7+0.2</f>
        <v>1.5999999999999999</v>
      </c>
      <c r="E8" s="18">
        <v>15.999999999999998</v>
      </c>
      <c r="F8" s="36">
        <v>31.999999999999996</v>
      </c>
      <c r="G8" s="36">
        <v>47.999999999999993</v>
      </c>
      <c r="H8" s="19">
        <v>63.999999999999993</v>
      </c>
      <c r="J8">
        <v>25</v>
      </c>
      <c r="K8">
        <f>INDEX(D:D,MATCH(J8,B:B,1))</f>
        <v>1</v>
      </c>
      <c r="O8" t="str">
        <f>CHAR(9) &amp; CHAR(9) &amp; CHAR(9) &amp; IF(ROW(O7)=ROW(O$4),"","else_") &amp; "if = {
" &amp; CHAR(9) &amp; CHAR(9) &amp; CHAR(9) &amp; CHAR(9) &amp; "limit = { NOT = { " &amp; IF($B9&lt;&gt;"", "AND = { num_pops &gt; " &amp; IF($B8=0,0,$B8-1) &amp; " num_pops &lt; " &amp; $B9 &amp; " ", "") &amp; "has_modifier = buy_influence_drain_" &amp; IF(E8&lt;100,"00",IF(E8&lt;1000,"0","")) &amp; E8 &amp; " "&amp; IF($B9&lt;&gt;"","}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IF(E8&lt;100,"00",IF(E8&lt;1000,"0","")) &amp; E8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65 num_pops &lt; 78 has_modifier = buy_influence_drain_0016 } } }
				if = {
					limit = { has_country_flag = buy_influence_auto_renew }
					country_event = { id = buy_influence.300 }
					add_modifier = { modifier = "buy_influence_drain_0016" days = -1 } }
				}
				else = {
					country_event = { id = buy_influence.100 }
				}
			}
</v>
      </c>
      <c r="P8" t="str">
        <f>CHAR(9) &amp; CHAR(9) &amp; CHAR(9) &amp; IF(ROW(P7)=ROW(P$4),"","else_") &amp; "if = {
" &amp; CHAR(9) &amp; CHAR(9) &amp; CHAR(9) &amp; CHAR(9) &amp; "limit = { NOT = { " &amp; IF($B9&lt;&gt;"", "AND = { num_pops &gt; " &amp; IF($B8=0,0,$B8-1) &amp; " num_pops &lt; " &amp; $B9 &amp; " ", "") &amp; "has_modifier = buy_influence_drain_" &amp; IF(F8&lt;100,"00",IF(F8&lt;1000,"0","")) &amp; F8 &amp; " "&amp; IF($B9&lt;&gt;"","}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IF(F8&lt;100,"00",IF(F8&lt;1000,"0","")) &amp; F8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65 num_pops &lt; 78 has_modifier = buy_influence_drain_0032 } } }
				if = {
					limit = { has_country_flag = buy_influence_auto_renew }
					country_event = { id = buy_influence.300 }
					add_modifier = { modifier = "buy_influence_drain_0032" days = -1 } }
				}
				else = {
					country_event = { id = buy_influence.100 }
				}
			}
</v>
      </c>
      <c r="Q8" t="str">
        <f>CHAR(9) &amp; CHAR(9) &amp; CHAR(9) &amp; IF(ROW(Q7)=ROW(Q$4),"","else_") &amp; "if = {
" &amp; CHAR(9) &amp; CHAR(9) &amp; CHAR(9) &amp; CHAR(9) &amp; "limit = { NOT = { " &amp; IF($B9&lt;&gt;"", "AND = { num_pops &gt; " &amp; IF($B8=0,0,$B8-1) &amp; " num_pops &lt; " &amp; $B9 &amp; " ", "") &amp; "has_modifier = buy_influence_drain_" &amp; IF(G8&lt;100,"00",IF(G8&lt;1000,"0","")) &amp; G8 &amp; " "&amp; IF($B9&lt;&gt;"","}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IF(G8&lt;100,"00",IF(G8&lt;1000,"0","")) &amp; G8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65 num_pops &lt; 78 has_modifier = buy_influence_drain_0048 } } }
				if = {
					limit = { has_country_flag = buy_influence_auto_renew }
					country_event = { id = buy_influence.300 }
					add_modifier = { modifier = "buy_influence_drain_0048" days = -1 } }
				}
				else = {
					country_event = { id = buy_influence.100 }
				}
			}
</v>
      </c>
      <c r="R8" t="str">
        <f>CHAR(9) &amp; CHAR(9) &amp; CHAR(9) &amp; IF(ROW(R7)=ROW(R$4),"","else_") &amp; "if = {
" &amp; CHAR(9) &amp; CHAR(9) &amp; CHAR(9) &amp; CHAR(9) &amp; "limit = { NOT = { " &amp; IF($B9&lt;&gt;"", "AND = { num_pops &gt; " &amp; IF($B8=0,0,$B8-1) &amp; " num_pops &lt; " &amp; $B9 &amp; " ", "") &amp; "has_modifier = buy_influence_drain_" &amp; IF(H8&lt;100,"00",IF(H8&lt;1000,"0","")) &amp; H8 &amp; " "&amp; IF($B9&lt;&gt;"","}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IF(H8&lt;100,"00",IF(H8&lt;1000,"0","")) &amp; H8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65 num_pops &lt; 78 has_modifier = buy_influence_drain_0064 } } }
				if = {
					limit = { has_country_flag = buy_influence_auto_renew }
					country_event = { id = buy_influence.300 }
					add_modifier = { modifier = "buy_influence_drain_0064" days = -1 } }
				}
				else = {
					country_event = { id = buy_influence.100 }
				}
			}
</v>
      </c>
      <c r="V8" t="str">
        <f>CHAR(9) &amp; CHAR(9) &amp; IF($B9="","else",IF(ROW(V7)=ROW(V$4),"if","else_if")) &amp; " = {
" &amp; IF($B9="","",CHAR(9) &amp; CHAR(9) &amp; CHAR(9) &amp; "limit = { num_pops &lt; " &amp; $B9 &amp; " }
") &amp; CHAR(9) &amp; CHAR(9) &amp; CHAR(9) &amp; "add_modifier = { modifier = ""buy_influence_drain_" &amp; IF(E8&lt;100,"00",IF(E8&lt;1000,"0","")) &amp; E8 &amp; """ days = -1 }
" &amp; CHAR(9) &amp; CHAR(9) &amp; "}
"</f>
        <v xml:space="preserve">		else_if = {
			limit = { num_pops &lt; 78 }
			add_modifier = { modifier = "buy_influence_drain_0016" days = -1 }
		}
</v>
      </c>
      <c r="W8" t="str">
        <f>CHAR(9) &amp; CHAR(9) &amp; IF($B9="","else",IF(ROW(W7)=ROW(W$4),"if","else_if")) &amp; " = {
" &amp; IF($B9="","",CHAR(9) &amp; CHAR(9) &amp; CHAR(9) &amp; "limit = { num_pops &lt; " &amp; $B9 &amp; " }
") &amp; CHAR(9) &amp; CHAR(9) &amp; CHAR(9) &amp; "add_modifier = { modifier = ""buy_influence_drain_" &amp; IF(F8&lt;100,"00",IF(F8&lt;1000,"0","")) &amp; F8 &amp; """ days = -1 }
" &amp; CHAR(9) &amp; CHAR(9) &amp; "}
"</f>
        <v xml:space="preserve">		else_if = {
			limit = { num_pops &lt; 78 }
			add_modifier = { modifier = "buy_influence_drain_0032" days = -1 }
		}
</v>
      </c>
      <c r="X8" t="str">
        <f>CHAR(9) &amp; CHAR(9) &amp; IF($B9="","else",IF(ROW(X7)=ROW(X$4),"if","else_if")) &amp; " = {
" &amp; IF($B9="","",CHAR(9) &amp; CHAR(9) &amp; CHAR(9) &amp; "limit = { num_pops &lt; " &amp; $B9 &amp; " }
") &amp; CHAR(9) &amp; CHAR(9) &amp; CHAR(9) &amp; "add_modifier = { modifier = ""buy_influence_drain_" &amp; IF(G8&lt;100,"00",IF(G8&lt;1000,"0","")) &amp; G8 &amp; """ days = -1 }
" &amp; CHAR(9) &amp; CHAR(9) &amp; "}
"</f>
        <v xml:space="preserve">		else_if = {
			limit = { num_pops &lt; 78 }
			add_modifier = { modifier = "buy_influence_drain_0048" days = -1 }
		}
</v>
      </c>
      <c r="Y8" t="str">
        <f>CHAR(9) &amp; CHAR(9) &amp; IF($B9="","else",IF(ROW(Y7)=ROW(Y$4),"if","else_if")) &amp; " = {
" &amp; IF($B9="","",CHAR(9) &amp; CHAR(9) &amp; CHAR(9) &amp; "limit = { num_pops &lt; " &amp; $B9 &amp; " }
") &amp; CHAR(9) &amp; CHAR(9) &amp; CHAR(9) &amp; "add_modifier = { modifier = ""buy_influence_drain_" &amp; IF(H8&lt;100,"00",IF(H8&lt;1000,"0","")) &amp; H8 &amp; """ days = -1 }
" &amp; CHAR(9) &amp; CHAR(9) &amp; "}
"</f>
        <v xml:space="preserve">		else_if = {
			limit = { num_pops &lt; 78 }
			add_modifier = { modifier = "buy_influence_drain_0064" days = -1 }
		}
</v>
      </c>
    </row>
    <row r="9" spans="2:26" x14ac:dyDescent="0.45">
      <c r="B9" s="20">
        <f>B8+12</f>
        <v>78</v>
      </c>
      <c r="C9" s="19">
        <f>B11-1</f>
        <v>119</v>
      </c>
      <c r="D9" s="30">
        <f>D8+0.2</f>
        <v>1.7999999999999998</v>
      </c>
      <c r="E9" s="18">
        <v>18</v>
      </c>
      <c r="F9" s="36">
        <v>36</v>
      </c>
      <c r="G9" s="36">
        <v>53.999999999999993</v>
      </c>
      <c r="H9" s="19">
        <v>72</v>
      </c>
      <c r="J9">
        <v>30</v>
      </c>
      <c r="K9">
        <f>INDEX(D:D,MATCH(J9,B:B,1))</f>
        <v>1</v>
      </c>
      <c r="O9" t="str">
        <f>CHAR(9) &amp; CHAR(9) &amp; CHAR(9) &amp; IF(ROW(O8)=ROW(O$4),"","else_") &amp; "if = {
" &amp; CHAR(9) &amp; CHAR(9) &amp; CHAR(9) &amp; CHAR(9) &amp; "limit = { NOT = { " &amp; IF($B10&lt;&gt;"", "AND = { num_pops &gt; " &amp; IF($B9=0,0,$B9-1) &amp; " num_pops &lt; " &amp; $B10 &amp; " ", "") &amp; "has_modifier = buy_influence_drain_" &amp; IF(E9&lt;100,"00",IF(E9&lt;1000,"0","")) &amp; E9 &amp; " "&amp; IF($B10&lt;&gt;"","}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IF(E9&lt;100,"00",IF(E9&lt;1000,"0","")) &amp; E9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77 num_pops &lt; 90 has_modifier = buy_influence_drain_0018 } } }
				if = {
					limit = { has_country_flag = buy_influence_auto_renew }
					country_event = { id = buy_influence.300 }
					add_modifier = { modifier = "buy_influence_drain_0018" days = -1 } }
				}
				else = {
					country_event = { id = buy_influence.100 }
				}
			}
</v>
      </c>
      <c r="P9" t="str">
        <f>CHAR(9) &amp; CHAR(9) &amp; CHAR(9) &amp; IF(ROW(P8)=ROW(P$4),"","else_") &amp; "if = {
" &amp; CHAR(9) &amp; CHAR(9) &amp; CHAR(9) &amp; CHAR(9) &amp; "limit = { NOT = { " &amp; IF($B10&lt;&gt;"", "AND = { num_pops &gt; " &amp; IF($B9=0,0,$B9-1) &amp; " num_pops &lt; " &amp; $B10 &amp; " ", "") &amp; "has_modifier = buy_influence_drain_" &amp; IF(F9&lt;100,"00",IF(F9&lt;1000,"0","")) &amp; F9 &amp; " "&amp; IF($B10&lt;&gt;"","}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IF(F9&lt;100,"00",IF(F9&lt;1000,"0","")) &amp; F9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77 num_pops &lt; 90 has_modifier = buy_influence_drain_0036 } } }
				if = {
					limit = { has_country_flag = buy_influence_auto_renew }
					country_event = { id = buy_influence.300 }
					add_modifier = { modifier = "buy_influence_drain_0036" days = -1 } }
				}
				else = {
					country_event = { id = buy_influence.100 }
				}
			}
</v>
      </c>
      <c r="Q9" t="str">
        <f>CHAR(9) &amp; CHAR(9) &amp; CHAR(9) &amp; IF(ROW(Q8)=ROW(Q$4),"","else_") &amp; "if = {
" &amp; CHAR(9) &amp; CHAR(9) &amp; CHAR(9) &amp; CHAR(9) &amp; "limit = { NOT = { " &amp; IF($B10&lt;&gt;"", "AND = { num_pops &gt; " &amp; IF($B9=0,0,$B9-1) &amp; " num_pops &lt; " &amp; $B10 &amp; " ", "") &amp; "has_modifier = buy_influence_drain_" &amp; IF(G9&lt;100,"00",IF(G9&lt;1000,"0","")) &amp; G9 &amp; " "&amp; IF($B10&lt;&gt;"","}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IF(G9&lt;100,"00",IF(G9&lt;1000,"0","")) &amp; G9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77 num_pops &lt; 90 has_modifier = buy_influence_drain_0054 } } }
				if = {
					limit = { has_country_flag = buy_influence_auto_renew }
					country_event = { id = buy_influence.300 }
					add_modifier = { modifier = "buy_influence_drain_0054" days = -1 } }
				}
				else = {
					country_event = { id = buy_influence.100 }
				}
			}
</v>
      </c>
      <c r="R9" t="str">
        <f>CHAR(9) &amp; CHAR(9) &amp; CHAR(9) &amp; IF(ROW(R8)=ROW(R$4),"","else_") &amp; "if = {
" &amp; CHAR(9) &amp; CHAR(9) &amp; CHAR(9) &amp; CHAR(9) &amp; "limit = { NOT = { " &amp; IF($B10&lt;&gt;"", "AND = { num_pops &gt; " &amp; IF($B9=0,0,$B9-1) &amp; " num_pops &lt; " &amp; $B10 &amp; " ", "") &amp; "has_modifier = buy_influence_drain_" &amp; IF(H9&lt;100,"00",IF(H9&lt;1000,"0","")) &amp; H9 &amp; " "&amp; IF($B10&lt;&gt;"","}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IF(H9&lt;100,"00",IF(H9&lt;1000,"0","")) &amp; H9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77 num_pops &lt; 90 has_modifier = buy_influence_drain_0072 } } }
				if = {
					limit = { has_country_flag = buy_influence_auto_renew }
					country_event = { id = buy_influence.300 }
					add_modifier = { modifier = "buy_influence_drain_0072" days = -1 } }
				}
				else = {
					country_event = { id = buy_influence.100 }
				}
			}
</v>
      </c>
      <c r="V9" t="str">
        <f>CHAR(9) &amp; CHAR(9) &amp; IF($B10="","else",IF(ROW(V8)=ROW(V$4),"if","else_if")) &amp; " = {
" &amp; IF($B10="","",CHAR(9) &amp; CHAR(9) &amp; CHAR(9) &amp; "limit = { num_pops &lt; " &amp; $B10 &amp; " }
") &amp; CHAR(9) &amp; CHAR(9) &amp; CHAR(9) &amp; "add_modifier = { modifier = ""buy_influence_drain_" &amp; IF(E9&lt;100,"00",IF(E9&lt;1000,"0","")) &amp; E9 &amp; """ days = -1 }
" &amp; CHAR(9) &amp; CHAR(9) &amp; "}
"</f>
        <v xml:space="preserve">		else_if = {
			limit = { num_pops &lt; 90 }
			add_modifier = { modifier = "buy_influence_drain_0018" days = -1 }
		}
</v>
      </c>
      <c r="W9" t="str">
        <f>CHAR(9) &amp; CHAR(9) &amp; IF($B10="","else",IF(ROW(W8)=ROW(W$4),"if","else_if")) &amp; " = {
" &amp; IF($B10="","",CHAR(9) &amp; CHAR(9) &amp; CHAR(9) &amp; "limit = { num_pops &lt; " &amp; $B10 &amp; " }
") &amp; CHAR(9) &amp; CHAR(9) &amp; CHAR(9) &amp; "add_modifier = { modifier = ""buy_influence_drain_" &amp; IF(F9&lt;100,"00",IF(F9&lt;1000,"0","")) &amp; F9 &amp; """ days = -1 }
" &amp; CHAR(9) &amp; CHAR(9) &amp; "}
"</f>
        <v xml:space="preserve">		else_if = {
			limit = { num_pops &lt; 90 }
			add_modifier = { modifier = "buy_influence_drain_0036" days = -1 }
		}
</v>
      </c>
      <c r="X9" t="str">
        <f>CHAR(9) &amp; CHAR(9) &amp; IF($B10="","else",IF(ROW(X8)=ROW(X$4),"if","else_if")) &amp; " = {
" &amp; IF($B10="","",CHAR(9) &amp; CHAR(9) &amp; CHAR(9) &amp; "limit = { num_pops &lt; " &amp; $B10 &amp; " }
") &amp; CHAR(9) &amp; CHAR(9) &amp; CHAR(9) &amp; "add_modifier = { modifier = ""buy_influence_drain_" &amp; IF(G9&lt;100,"00",IF(G9&lt;1000,"0","")) &amp; G9 &amp; """ days = -1 }
" &amp; CHAR(9) &amp; CHAR(9) &amp; "}
"</f>
        <v xml:space="preserve">		else_if = {
			limit = { num_pops &lt; 90 }
			add_modifier = { modifier = "buy_influence_drain_0054" days = -1 }
		}
</v>
      </c>
      <c r="Y9" t="str">
        <f>CHAR(9) &amp; CHAR(9) &amp; IF($B10="","else",IF(ROW(Y8)=ROW(Y$4),"if","else_if")) &amp; " = {
" &amp; IF($B10="","",CHAR(9) &amp; CHAR(9) &amp; CHAR(9) &amp; "limit = { num_pops &lt; " &amp; $B10 &amp; " }
") &amp; CHAR(9) &amp; CHAR(9) &amp; CHAR(9) &amp; "add_modifier = { modifier = ""buy_influence_drain_" &amp; IF(H9&lt;100,"00",IF(H9&lt;1000,"0","")) &amp; H9 &amp; """ days = -1 }
" &amp; CHAR(9) &amp; CHAR(9) &amp; "}
"</f>
        <v xml:space="preserve">		else_if = {
			limit = { num_pops &lt; 90 }
			add_modifier = { modifier = "buy_influence_drain_0072" days = -1 }
		}
</v>
      </c>
    </row>
    <row r="10" spans="2:26" x14ac:dyDescent="0.45">
      <c r="B10" s="20">
        <f>B9+12</f>
        <v>90</v>
      </c>
      <c r="C10" s="19">
        <f>B12-1</f>
        <v>149</v>
      </c>
      <c r="D10" s="30">
        <f>D9+0.2</f>
        <v>1.9999999999999998</v>
      </c>
      <c r="E10" s="18">
        <v>19.999999999999996</v>
      </c>
      <c r="F10" s="36">
        <v>39.999999999999993</v>
      </c>
      <c r="G10" s="36">
        <v>59.999999999999993</v>
      </c>
      <c r="H10" s="19">
        <v>79.999999999999986</v>
      </c>
      <c r="J10">
        <v>35</v>
      </c>
      <c r="K10">
        <f>INDEX(D:D,MATCH(J10,B:B,1))</f>
        <v>1</v>
      </c>
      <c r="O10" t="str">
        <f>CHAR(9) &amp; CHAR(9) &amp; CHAR(9) &amp; IF(ROW(O9)=ROW(O$4),"","else_") &amp; "if = {
" &amp; CHAR(9) &amp; CHAR(9) &amp; CHAR(9) &amp; CHAR(9) &amp; "limit = { NOT = { " &amp; IF($B11&lt;&gt;"", "AND = { num_pops &gt; " &amp; IF($B10=0,0,$B10-1) &amp; " num_pops &lt; " &amp; $B11 &amp; " ", "") &amp; "has_modifier = buy_influence_drain_" &amp; IF(E10&lt;100,"00",IF(E10&lt;1000,"0","")) &amp; E10 &amp; " "&amp; IF($B11&lt;&gt;"","}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IF(E10&lt;100,"00",IF(E10&lt;1000,"0","")) &amp; E10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89 num_pops &lt; 120 has_modifier = buy_influence_drain_0020 } } }
				if = {
					limit = { has_country_flag = buy_influence_auto_renew }
					country_event = { id = buy_influence.300 }
					add_modifier = { modifier = "buy_influence_drain_0020" days = -1 } }
				}
				else = {
					country_event = { id = buy_influence.100 }
				}
			}
</v>
      </c>
      <c r="P10" t="str">
        <f>CHAR(9) &amp; CHAR(9) &amp; CHAR(9) &amp; IF(ROW(P9)=ROW(P$4),"","else_") &amp; "if = {
" &amp; CHAR(9) &amp; CHAR(9) &amp; CHAR(9) &amp; CHAR(9) &amp; "limit = { NOT = { " &amp; IF($B11&lt;&gt;"", "AND = { num_pops &gt; " &amp; IF($B10=0,0,$B10-1) &amp; " num_pops &lt; " &amp; $B11 &amp; " ", "") &amp; "has_modifier = buy_influence_drain_" &amp; IF(F10&lt;100,"00",IF(F10&lt;1000,"0","")) &amp; F10 &amp; " "&amp; IF($B11&lt;&gt;"","}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IF(F10&lt;100,"00",IF(F10&lt;1000,"0","")) &amp; F10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89 num_pops &lt; 120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Q10" t="str">
        <f>CHAR(9) &amp; CHAR(9) &amp; CHAR(9) &amp; IF(ROW(Q9)=ROW(Q$4),"","else_") &amp; "if = {
" &amp; CHAR(9) &amp; CHAR(9) &amp; CHAR(9) &amp; CHAR(9) &amp; "limit = { NOT = { " &amp; IF($B11&lt;&gt;"", "AND = { num_pops &gt; " &amp; IF($B10=0,0,$B10-1) &amp; " num_pops &lt; " &amp; $B11 &amp; " ", "") &amp; "has_modifier = buy_influence_drain_" &amp; IF(G10&lt;100,"00",IF(G10&lt;1000,"0","")) &amp; G10 &amp; " "&amp; IF($B11&lt;&gt;"","}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IF(G10&lt;100,"00",IF(G10&lt;1000,"0","")) &amp; G10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89 num_pops &lt; 120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R10" t="str">
        <f>CHAR(9) &amp; CHAR(9) &amp; CHAR(9) &amp; IF(ROW(R9)=ROW(R$4),"","else_") &amp; "if = {
" &amp; CHAR(9) &amp; CHAR(9) &amp; CHAR(9) &amp; CHAR(9) &amp; "limit = { NOT = { " &amp; IF($B11&lt;&gt;"", "AND = { num_pops &gt; " &amp; IF($B10=0,0,$B10-1) &amp; " num_pops &lt; " &amp; $B11 &amp; " ", "") &amp; "has_modifier = buy_influence_drain_" &amp; IF(H10&lt;100,"00",IF(H10&lt;1000,"0","")) &amp; H10 &amp; " "&amp; IF($B11&lt;&gt;"","}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IF(H10&lt;100,"00",IF(H10&lt;1000,"0","")) &amp; H10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89 num_pops &lt; 120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V10" t="str">
        <f>CHAR(9) &amp; CHAR(9) &amp; IF($B11="","else",IF(ROW(V9)=ROW(V$4),"if","else_if")) &amp; " = {
" &amp; IF($B11="","",CHAR(9) &amp; CHAR(9) &amp; CHAR(9) &amp; "limit = { num_pops &lt; " &amp; $B11 &amp; " }
") &amp; CHAR(9) &amp; CHAR(9) &amp; CHAR(9) &amp; "add_modifier = { modifier = ""buy_influence_drain_" &amp; IF(E10&lt;100,"00",IF(E10&lt;1000,"0","")) &amp; E10 &amp; """ days = -1 }
" &amp; CHAR(9) &amp; CHAR(9) &amp; "}
"</f>
        <v xml:space="preserve">		else_if = {
			limit = { num_pops &lt; 120 }
			add_modifier = { modifier = "buy_influence_drain_0020" days = -1 }
		}
</v>
      </c>
      <c r="W10" t="str">
        <f>CHAR(9) &amp; CHAR(9) &amp; IF($B11="","else",IF(ROW(W9)=ROW(W$4),"if","else_if")) &amp; " = {
" &amp; IF($B11="","",CHAR(9) &amp; CHAR(9) &amp; CHAR(9) &amp; "limit = { num_pops &lt; " &amp; $B11 &amp; " }
") &amp; CHAR(9) &amp; CHAR(9) &amp; CHAR(9) &amp; "add_modifier = { modifier = ""buy_influence_drain_" &amp; IF(F10&lt;100,"00",IF(F10&lt;1000,"0","")) &amp; F10 &amp; """ days = -1 }
" &amp; CHAR(9) &amp; CHAR(9) &amp; "}
"</f>
        <v xml:space="preserve">		else_if = {
			limit = { num_pops &lt; 120 }
			add_modifier = { modifier = "buy_influence_drain_0040" days = -1 }
		}
</v>
      </c>
      <c r="X10" t="str">
        <f>CHAR(9) &amp; CHAR(9) &amp; IF($B11="","else",IF(ROW(X9)=ROW(X$4),"if","else_if")) &amp; " = {
" &amp; IF($B11="","",CHAR(9) &amp; CHAR(9) &amp; CHAR(9) &amp; "limit = { num_pops &lt; " &amp; $B11 &amp; " }
") &amp; CHAR(9) &amp; CHAR(9) &amp; CHAR(9) &amp; "add_modifier = { modifier = ""buy_influence_drain_" &amp; IF(G10&lt;100,"00",IF(G10&lt;1000,"0","")) &amp; G10 &amp; """ days = -1 }
" &amp; CHAR(9) &amp; CHAR(9) &amp; "}
"</f>
        <v xml:space="preserve">		else_if = {
			limit = { num_pops &lt; 120 }
			add_modifier = { modifier = "buy_influence_drain_0060" days = -1 }
		}
</v>
      </c>
      <c r="Y10" t="str">
        <f>CHAR(9) &amp; CHAR(9) &amp; IF($B11="","else",IF(ROW(Y9)=ROW(Y$4),"if","else_if")) &amp; " = {
" &amp; IF($B11="","",CHAR(9) &amp; CHAR(9) &amp; CHAR(9) &amp; "limit = { num_pops &lt; " &amp; $B11 &amp; " }
") &amp; CHAR(9) &amp; CHAR(9) &amp; CHAR(9) &amp; "add_modifier = { modifier = ""buy_influence_drain_" &amp; IF(H10&lt;100,"00",IF(H10&lt;1000,"0","")) &amp; H10 &amp; """ days = -1 }
" &amp; CHAR(9) &amp; CHAR(9) &amp; "}
"</f>
        <v xml:space="preserve">		else_if = {
			limit = { num_pops &lt; 120 }
			add_modifier = { modifier = "buy_influence_drain_0080" days = -1 }
		}
</v>
      </c>
    </row>
    <row r="11" spans="2:26" x14ac:dyDescent="0.45">
      <c r="B11" s="21">
        <f t="shared" ref="B11:B16" si="2">B10+30</f>
        <v>120</v>
      </c>
      <c r="C11" s="19">
        <f t="shared" ref="C11:C31" si="3">B12-1</f>
        <v>149</v>
      </c>
      <c r="D11" s="31">
        <f t="shared" ref="D11:D16" si="4">D10+0.5</f>
        <v>2.5</v>
      </c>
      <c r="E11" s="18">
        <v>25</v>
      </c>
      <c r="F11" s="36">
        <v>50</v>
      </c>
      <c r="G11" s="36">
        <v>75</v>
      </c>
      <c r="H11" s="19">
        <v>100</v>
      </c>
      <c r="J11">
        <v>40</v>
      </c>
      <c r="K11">
        <f>INDEX(D:D,MATCH(J11,B:B,1))</f>
        <v>1</v>
      </c>
      <c r="O11" t="str">
        <f>CHAR(9) &amp; CHAR(9) &amp; CHAR(9) &amp; IF(ROW(O10)=ROW(O$4),"","else_") &amp; "if = {
" &amp; CHAR(9) &amp; CHAR(9) &amp; CHAR(9) &amp; CHAR(9) &amp; "limit = { NOT = { " &amp; IF($B12&lt;&gt;"", "AND = { num_pops &gt; " &amp; IF($B11=0,0,$B11-1) &amp; " num_pops &lt; " &amp; $B12 &amp; " ", "") &amp; "has_modifier = buy_influence_drain_" &amp; IF(E11&lt;100,"00",IF(E11&lt;1000,"0","")) &amp; E11 &amp; " "&amp; IF($B12&lt;&gt;"","}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IF(E11&lt;100,"00",IF(E11&lt;1000,"0","")) &amp; E11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119 num_pops &lt; 150 has_modifier = buy_influence_drain_0025 } } }
				if = {
					limit = { has_country_flag = buy_influence_auto_renew }
					country_event = { id = buy_influence.300 }
					add_modifier = { modifier = "buy_influence_drain_0025" days = -1 } }
				}
				else = {
					country_event = { id = buy_influence.100 }
				}
			}
</v>
      </c>
      <c r="P11" t="str">
        <f>CHAR(9) &amp; CHAR(9) &amp; CHAR(9) &amp; IF(ROW(P10)=ROW(P$4),"","else_") &amp; "if = {
" &amp; CHAR(9) &amp; CHAR(9) &amp; CHAR(9) &amp; CHAR(9) &amp; "limit = { NOT = { " &amp; IF($B12&lt;&gt;"", "AND = { num_pops &gt; " &amp; IF($B11=0,0,$B11-1) &amp; " num_pops &lt; " &amp; $B12 &amp; " ", "") &amp; "has_modifier = buy_influence_drain_" &amp; IF(F11&lt;100,"00",IF(F11&lt;1000,"0","")) &amp; F11 &amp; " "&amp; IF($B12&lt;&gt;"","}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IF(F11&lt;100,"00",IF(F11&lt;1000,"0","")) &amp; F11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119 num_pops &lt; 150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</v>
      </c>
      <c r="Q11" t="str">
        <f>CHAR(9) &amp; CHAR(9) &amp; CHAR(9) &amp; IF(ROW(Q10)=ROW(Q$4),"","else_") &amp; "if = {
" &amp; CHAR(9) &amp; CHAR(9) &amp; CHAR(9) &amp; CHAR(9) &amp; "limit = { NOT = { " &amp; IF($B12&lt;&gt;"", "AND = { num_pops &gt; " &amp; IF($B11=0,0,$B11-1) &amp; " num_pops &lt; " &amp; $B12 &amp; " ", "") &amp; "has_modifier = buy_influence_drain_" &amp; IF(G11&lt;100,"00",IF(G11&lt;1000,"0","")) &amp; G11 &amp; " "&amp; IF($B12&lt;&gt;"","}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IF(G11&lt;100,"00",IF(G11&lt;1000,"0","")) &amp; G11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119 num_pops &lt; 150 has_modifier = buy_influence_drain_0075 } } }
				if = {
					limit = { has_country_flag = buy_influence_auto_renew }
					country_event = { id = buy_influence.300 }
					add_modifier = { modifier = "buy_influence_drain_0075" days = -1 } }
				}
				else = {
					country_event = { id = buy_influence.100 }
				}
			}
</v>
      </c>
      <c r="R11" t="str">
        <f>CHAR(9) &amp; CHAR(9) &amp; CHAR(9) &amp; IF(ROW(R10)=ROW(R$4),"","else_") &amp; "if = {
" &amp; CHAR(9) &amp; CHAR(9) &amp; CHAR(9) &amp; CHAR(9) &amp; "limit = { NOT = { " &amp; IF($B12&lt;&gt;"", "AND = { num_pops &gt; " &amp; IF($B11=0,0,$B11-1) &amp; " num_pops &lt; " &amp; $B12 &amp; " ", "") &amp; "has_modifier = buy_influence_drain_" &amp; IF(H11&lt;100,"00",IF(H11&lt;1000,"0","")) &amp; H11 &amp; " "&amp; IF($B12&lt;&gt;"","}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IF(H11&lt;100,"00",IF(H11&lt;1000,"0","")) &amp; H11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119 num_pops &lt; 150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V11" t="str">
        <f>CHAR(9) &amp; CHAR(9) &amp; IF($B12="","else",IF(ROW(V10)=ROW(V$4),"if","else_if")) &amp; " = {
" &amp; IF($B12="","",CHAR(9) &amp; CHAR(9) &amp; CHAR(9) &amp; "limit = { num_pops &lt; " &amp; $B12 &amp; " }
") &amp; CHAR(9) &amp; CHAR(9) &amp; CHAR(9) &amp; "add_modifier = { modifier = ""buy_influence_drain_" &amp; IF(E11&lt;100,"00",IF(E11&lt;1000,"0","")) &amp; E11 &amp; """ days = -1 }
" &amp; CHAR(9) &amp; CHAR(9) &amp; "}
"</f>
        <v xml:space="preserve">		else_if = {
			limit = { num_pops &lt; 150 }
			add_modifier = { modifier = "buy_influence_drain_0025" days = -1 }
		}
</v>
      </c>
      <c r="W11" t="str">
        <f>CHAR(9) &amp; CHAR(9) &amp; IF($B12="","else",IF(ROW(W10)=ROW(W$4),"if","else_if")) &amp; " = {
" &amp; IF($B12="","",CHAR(9) &amp; CHAR(9) &amp; CHAR(9) &amp; "limit = { num_pops &lt; " &amp; $B12 &amp; " }
") &amp; CHAR(9) &amp; CHAR(9) &amp; CHAR(9) &amp; "add_modifier = { modifier = ""buy_influence_drain_" &amp; IF(F11&lt;100,"00",IF(F11&lt;1000,"0","")) &amp; F11 &amp; """ days = -1 }
" &amp; CHAR(9) &amp; CHAR(9) &amp; "}
"</f>
        <v xml:space="preserve">		else_if = {
			limit = { num_pops &lt; 150 }
			add_modifier = { modifier = "buy_influence_drain_0050" days = -1 }
		}
</v>
      </c>
      <c r="X11" t="str">
        <f>CHAR(9) &amp; CHAR(9) &amp; IF($B12="","else",IF(ROW(X10)=ROW(X$4),"if","else_if")) &amp; " = {
" &amp; IF($B12="","",CHAR(9) &amp; CHAR(9) &amp; CHAR(9) &amp; "limit = { num_pops &lt; " &amp; $B12 &amp; " }
") &amp; CHAR(9) &amp; CHAR(9) &amp; CHAR(9) &amp; "add_modifier = { modifier = ""buy_influence_drain_" &amp; IF(G11&lt;100,"00",IF(G11&lt;1000,"0","")) &amp; G11 &amp; """ days = -1 }
" &amp; CHAR(9) &amp; CHAR(9) &amp; "}
"</f>
        <v xml:space="preserve">		else_if = {
			limit = { num_pops &lt; 150 }
			add_modifier = { modifier = "buy_influence_drain_0075" days = -1 }
		}
</v>
      </c>
      <c r="Y11" t="str">
        <f>CHAR(9) &amp; CHAR(9) &amp; IF($B12="","else",IF(ROW(Y10)=ROW(Y$4),"if","else_if")) &amp; " = {
" &amp; IF($B12="","",CHAR(9) &amp; CHAR(9) &amp; CHAR(9) &amp; "limit = { num_pops &lt; " &amp; $B12 &amp; " }
") &amp; CHAR(9) &amp; CHAR(9) &amp; CHAR(9) &amp; "add_modifier = { modifier = ""buy_influence_drain_" &amp; IF(H11&lt;100,"00",IF(H11&lt;1000,"0","")) &amp; H11 &amp; """ days = -1 }
" &amp; CHAR(9) &amp; CHAR(9) &amp; "}
"</f>
        <v xml:space="preserve">		else_if = {
			limit = { num_pops &lt; 150 }
			add_modifier = { modifier = "buy_influence_drain_0100" days = -1 }
		}
</v>
      </c>
    </row>
    <row r="12" spans="2:26" x14ac:dyDescent="0.45">
      <c r="B12" s="21">
        <f t="shared" si="2"/>
        <v>150</v>
      </c>
      <c r="C12" s="19">
        <f t="shared" si="3"/>
        <v>179</v>
      </c>
      <c r="D12" s="31">
        <f t="shared" si="4"/>
        <v>3</v>
      </c>
      <c r="E12" s="18">
        <v>30</v>
      </c>
      <c r="F12" s="36">
        <v>60</v>
      </c>
      <c r="G12" s="36">
        <v>90</v>
      </c>
      <c r="H12" s="19">
        <v>120</v>
      </c>
      <c r="J12">
        <v>45</v>
      </c>
      <c r="K12">
        <f>INDEX(D:D,MATCH(J12,B:B,1))</f>
        <v>1.2</v>
      </c>
      <c r="O12" t="str">
        <f>CHAR(9) &amp; CHAR(9) &amp; CHAR(9) &amp; IF(ROW(O11)=ROW(O$4),"","else_") &amp; "if = {
" &amp; CHAR(9) &amp; CHAR(9) &amp; CHAR(9) &amp; CHAR(9) &amp; "limit = { NOT = { " &amp; IF($B13&lt;&gt;"", "AND = { num_pops &gt; " &amp; IF($B12=0,0,$B12-1) &amp; " num_pops &lt; " &amp; $B13 &amp; " ", "") &amp; "has_modifier = buy_influence_drain_" &amp; IF(E12&lt;100,"00",IF(E12&lt;1000,"0","")) &amp; E12 &amp; " "&amp; IF($B13&lt;&gt;"","}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IF(E12&lt;100,"00",IF(E12&lt;1000,"0","")) &amp; E12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149 num_pops &lt; 180 has_modifier = buy_influence_drain_0030 } } }
				if = {
					limit = { has_country_flag = buy_influence_auto_renew }
					country_event = { id = buy_influence.300 }
					add_modifier = { modifier = "buy_influence_drain_0030" days = -1 } }
				}
				else = {
					country_event = { id = buy_influence.100 }
				}
			}
</v>
      </c>
      <c r="P12" t="str">
        <f>CHAR(9) &amp; CHAR(9) &amp; CHAR(9) &amp; IF(ROW(P11)=ROW(P$4),"","else_") &amp; "if = {
" &amp; CHAR(9) &amp; CHAR(9) &amp; CHAR(9) &amp; CHAR(9) &amp; "limit = { NOT = { " &amp; IF($B13&lt;&gt;"", "AND = { num_pops &gt; " &amp; IF($B12=0,0,$B12-1) &amp; " num_pops &lt; " &amp; $B13 &amp; " ", "") &amp; "has_modifier = buy_influence_drain_" &amp; IF(F12&lt;100,"00",IF(F12&lt;1000,"0","")) &amp; F12 &amp; " "&amp; IF($B13&lt;&gt;"","}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IF(F12&lt;100,"00",IF(F12&lt;1000,"0","")) &amp; F12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149 num_pops &lt; 180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Q12" t="str">
        <f>CHAR(9) &amp; CHAR(9) &amp; CHAR(9) &amp; IF(ROW(Q11)=ROW(Q$4),"","else_") &amp; "if = {
" &amp; CHAR(9) &amp; CHAR(9) &amp; CHAR(9) &amp; CHAR(9) &amp; "limit = { NOT = { " &amp; IF($B13&lt;&gt;"", "AND = { num_pops &gt; " &amp; IF($B12=0,0,$B12-1) &amp; " num_pops &lt; " &amp; $B13 &amp; " ", "") &amp; "has_modifier = buy_influence_drain_" &amp; IF(G12&lt;100,"00",IF(G12&lt;1000,"0","")) &amp; G12 &amp; " "&amp; IF($B13&lt;&gt;"","}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IF(G12&lt;100,"00",IF(G12&lt;1000,"0","")) &amp; G12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149 num_pops &lt; 180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R12" t="str">
        <f>CHAR(9) &amp; CHAR(9) &amp; CHAR(9) &amp; IF(ROW(R11)=ROW(R$4),"","else_") &amp; "if = {
" &amp; CHAR(9) &amp; CHAR(9) &amp; CHAR(9) &amp; CHAR(9) &amp; "limit = { NOT = { " &amp; IF($B13&lt;&gt;"", "AND = { num_pops &gt; " &amp; IF($B12=0,0,$B12-1) &amp; " num_pops &lt; " &amp; $B13 &amp; " ", "") &amp; "has_modifier = buy_influence_drain_" &amp; IF(H12&lt;100,"00",IF(H12&lt;1000,"0","")) &amp; H12 &amp; " "&amp; IF($B13&lt;&gt;"","}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IF(H12&lt;100,"00",IF(H12&lt;1000,"0","")) &amp; H12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149 num_pops &lt; 180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V12" t="str">
        <f>CHAR(9) &amp; CHAR(9) &amp; IF($B13="","else",IF(ROW(V11)=ROW(V$4),"if","else_if")) &amp; " = {
" &amp; IF($B13="","",CHAR(9) &amp; CHAR(9) &amp; CHAR(9) &amp; "limit = { num_pops &lt; " &amp; $B13 &amp; " }
") &amp; CHAR(9) &amp; CHAR(9) &amp; CHAR(9) &amp; "add_modifier = { modifier = ""buy_influence_drain_" &amp; IF(E12&lt;100,"00",IF(E12&lt;1000,"0","")) &amp; E12 &amp; """ days = -1 }
" &amp; CHAR(9) &amp; CHAR(9) &amp; "}
"</f>
        <v xml:space="preserve">		else_if = {
			limit = { num_pops &lt; 180 }
			add_modifier = { modifier = "buy_influence_drain_0030" days = -1 }
		}
</v>
      </c>
      <c r="W12" t="str">
        <f>CHAR(9) &amp; CHAR(9) &amp; IF($B13="","else",IF(ROW(W11)=ROW(W$4),"if","else_if")) &amp; " = {
" &amp; IF($B13="","",CHAR(9) &amp; CHAR(9) &amp; CHAR(9) &amp; "limit = { num_pops &lt; " &amp; $B13 &amp; " }
") &amp; CHAR(9) &amp; CHAR(9) &amp; CHAR(9) &amp; "add_modifier = { modifier = ""buy_influence_drain_" &amp; IF(F12&lt;100,"00",IF(F12&lt;1000,"0","")) &amp; F12 &amp; """ days = -1 }
" &amp; CHAR(9) &amp; CHAR(9) &amp; "}
"</f>
        <v xml:space="preserve">		else_if = {
			limit = { num_pops &lt; 180 }
			add_modifier = { modifier = "buy_influence_drain_0060" days = -1 }
		}
</v>
      </c>
      <c r="X12" t="str">
        <f>CHAR(9) &amp; CHAR(9) &amp; IF($B13="","else",IF(ROW(X11)=ROW(X$4),"if","else_if")) &amp; " = {
" &amp; IF($B13="","",CHAR(9) &amp; CHAR(9) &amp; CHAR(9) &amp; "limit = { num_pops &lt; " &amp; $B13 &amp; " }
") &amp; CHAR(9) &amp; CHAR(9) &amp; CHAR(9) &amp; "add_modifier = { modifier = ""buy_influence_drain_" &amp; IF(G12&lt;100,"00",IF(G12&lt;1000,"0","")) &amp; G12 &amp; """ days = -1 }
" &amp; CHAR(9) &amp; CHAR(9) &amp; "}
"</f>
        <v xml:space="preserve">		else_if = {
			limit = { num_pops &lt; 180 }
			add_modifier = { modifier = "buy_influence_drain_0090" days = -1 }
		}
</v>
      </c>
      <c r="Y12" t="str">
        <f>CHAR(9) &amp; CHAR(9) &amp; IF($B13="","else",IF(ROW(Y11)=ROW(Y$4),"if","else_if")) &amp; " = {
" &amp; IF($B13="","",CHAR(9) &amp; CHAR(9) &amp; CHAR(9) &amp; "limit = { num_pops &lt; " &amp; $B13 &amp; " }
") &amp; CHAR(9) &amp; CHAR(9) &amp; CHAR(9) &amp; "add_modifier = { modifier = ""buy_influence_drain_" &amp; IF(H12&lt;100,"00",IF(H12&lt;1000,"0","")) &amp; H12 &amp; """ days = -1 }
" &amp; CHAR(9) &amp; CHAR(9) &amp; "}
"</f>
        <v xml:space="preserve">		else_if = {
			limit = { num_pops &lt; 180 }
			add_modifier = { modifier = "buy_influence_drain_0120" days = -1 }
		}
</v>
      </c>
    </row>
    <row r="13" spans="2:26" x14ac:dyDescent="0.45">
      <c r="B13" s="21">
        <f t="shared" si="2"/>
        <v>180</v>
      </c>
      <c r="C13" s="19">
        <f t="shared" si="3"/>
        <v>209</v>
      </c>
      <c r="D13" s="31">
        <f t="shared" si="4"/>
        <v>3.5</v>
      </c>
      <c r="E13" s="18">
        <v>35</v>
      </c>
      <c r="F13" s="36">
        <v>70</v>
      </c>
      <c r="G13" s="36">
        <v>105</v>
      </c>
      <c r="H13" s="19">
        <v>140</v>
      </c>
      <c r="J13">
        <v>50</v>
      </c>
      <c r="K13">
        <f>INDEX(D:D,MATCH(J13,B:B,1))</f>
        <v>1.2</v>
      </c>
      <c r="O13" t="str">
        <f>CHAR(9) &amp; CHAR(9) &amp; CHAR(9) &amp; IF(ROW(O12)=ROW(O$4),"","else_") &amp; "if = {
" &amp; CHAR(9) &amp; CHAR(9) &amp; CHAR(9) &amp; CHAR(9) &amp; "limit = { NOT = { " &amp; IF($B14&lt;&gt;"", "AND = { num_pops &gt; " &amp; IF($B13=0,0,$B13-1) &amp; " num_pops &lt; " &amp; $B14 &amp; " ", "") &amp; "has_modifier = buy_influence_drain_" &amp; IF(E13&lt;100,"00",IF(E13&lt;1000,"0","")) &amp; E13 &amp; " "&amp; IF($B14&lt;&gt;"","}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IF(E13&lt;100,"00",IF(E13&lt;1000,"0","")) &amp; E13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179 num_pops &lt; 210 has_modifier = buy_influence_drain_0035 } } }
				if = {
					limit = { has_country_flag = buy_influence_auto_renew }
					country_event = { id = buy_influence.300 }
					add_modifier = { modifier = "buy_influence_drain_0035" days = -1 } }
				}
				else = {
					country_event = { id = buy_influence.100 }
				}
			}
</v>
      </c>
      <c r="P13" t="str">
        <f>CHAR(9) &amp; CHAR(9) &amp; CHAR(9) &amp; IF(ROW(P12)=ROW(P$4),"","else_") &amp; "if = {
" &amp; CHAR(9) &amp; CHAR(9) &amp; CHAR(9) &amp; CHAR(9) &amp; "limit = { NOT = { " &amp; IF($B14&lt;&gt;"", "AND = { num_pops &gt; " &amp; IF($B13=0,0,$B13-1) &amp; " num_pops &lt; " &amp; $B14 &amp; " ", "") &amp; "has_modifier = buy_influence_drain_" &amp; IF(F13&lt;100,"00",IF(F13&lt;1000,"0","")) &amp; F13 &amp; " "&amp; IF($B14&lt;&gt;"","}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IF(F13&lt;100,"00",IF(F13&lt;1000,"0","")) &amp; F13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179 num_pops &lt; 210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</v>
      </c>
      <c r="Q13" t="str">
        <f>CHAR(9) &amp; CHAR(9) &amp; CHAR(9) &amp; IF(ROW(Q12)=ROW(Q$4),"","else_") &amp; "if = {
" &amp; CHAR(9) &amp; CHAR(9) &amp; CHAR(9) &amp; CHAR(9) &amp; "limit = { NOT = { " &amp; IF($B14&lt;&gt;"", "AND = { num_pops &gt; " &amp; IF($B13=0,0,$B13-1) &amp; " num_pops &lt; " &amp; $B14 &amp; " ", "") &amp; "has_modifier = buy_influence_drain_" &amp; IF(G13&lt;100,"00",IF(G13&lt;1000,"0","")) &amp; G13 &amp; " "&amp; IF($B14&lt;&gt;"","}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IF(G13&lt;100,"00",IF(G13&lt;1000,"0","")) &amp; G13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179 num_pops &lt; 210 has_modifier = buy_influence_drain_0105 } } }
				if = {
					limit = { has_country_flag = buy_influence_auto_renew }
					country_event = { id = buy_influence.300 }
					add_modifier = { modifier = "buy_influence_drain_0105" days = -1 } }
				}
				else = {
					country_event = { id = buy_influence.100 }
				}
			}
</v>
      </c>
      <c r="R13" t="str">
        <f>CHAR(9) &amp; CHAR(9) &amp; CHAR(9) &amp; IF(ROW(R12)=ROW(R$4),"","else_") &amp; "if = {
" &amp; CHAR(9) &amp; CHAR(9) &amp; CHAR(9) &amp; CHAR(9) &amp; "limit = { NOT = { " &amp; IF($B14&lt;&gt;"", "AND = { num_pops &gt; " &amp; IF($B13=0,0,$B13-1) &amp; " num_pops &lt; " &amp; $B14 &amp; " ", "") &amp; "has_modifier = buy_influence_drain_" &amp; IF(H13&lt;100,"00",IF(H13&lt;1000,"0","")) &amp; H13 &amp; " "&amp; IF($B14&lt;&gt;"","}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IF(H13&lt;100,"00",IF(H13&lt;1000,"0","")) &amp; H13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179 num_pops &lt; 210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V13" t="str">
        <f>CHAR(9) &amp; CHAR(9) &amp; IF($B14="","else",IF(ROW(V12)=ROW(V$4),"if","else_if")) &amp; " = {
" &amp; IF($B14="","",CHAR(9) &amp; CHAR(9) &amp; CHAR(9) &amp; "limit = { num_pops &lt; " &amp; $B14 &amp; " }
") &amp; CHAR(9) &amp; CHAR(9) &amp; CHAR(9) &amp; "add_modifier = { modifier = ""buy_influence_drain_" &amp; IF(E13&lt;100,"00",IF(E13&lt;1000,"0","")) &amp; E13 &amp; """ days = -1 }
" &amp; CHAR(9) &amp; CHAR(9) &amp; "}
"</f>
        <v xml:space="preserve">		else_if = {
			limit = { num_pops &lt; 210 }
			add_modifier = { modifier = "buy_influence_drain_0035" days = -1 }
		}
</v>
      </c>
      <c r="W13" t="str">
        <f>CHAR(9) &amp; CHAR(9) &amp; IF($B14="","else",IF(ROW(W12)=ROW(W$4),"if","else_if")) &amp; " = {
" &amp; IF($B14="","",CHAR(9) &amp; CHAR(9) &amp; CHAR(9) &amp; "limit = { num_pops &lt; " &amp; $B14 &amp; " }
") &amp; CHAR(9) &amp; CHAR(9) &amp; CHAR(9) &amp; "add_modifier = { modifier = ""buy_influence_drain_" &amp; IF(F13&lt;100,"00",IF(F13&lt;1000,"0","")) &amp; F13 &amp; """ days = -1 }
" &amp; CHAR(9) &amp; CHAR(9) &amp; "}
"</f>
        <v xml:space="preserve">		else_if = {
			limit = { num_pops &lt; 210 }
			add_modifier = { modifier = "buy_influence_drain_0070" days = -1 }
		}
</v>
      </c>
      <c r="X13" t="str">
        <f>CHAR(9) &amp; CHAR(9) &amp; IF($B14="","else",IF(ROW(X12)=ROW(X$4),"if","else_if")) &amp; " = {
" &amp; IF($B14="","",CHAR(9) &amp; CHAR(9) &amp; CHAR(9) &amp; "limit = { num_pops &lt; " &amp; $B14 &amp; " }
") &amp; CHAR(9) &amp; CHAR(9) &amp; CHAR(9) &amp; "add_modifier = { modifier = ""buy_influence_drain_" &amp; IF(G13&lt;100,"00",IF(G13&lt;1000,"0","")) &amp; G13 &amp; """ days = -1 }
" &amp; CHAR(9) &amp; CHAR(9) &amp; "}
"</f>
        <v xml:space="preserve">		else_if = {
			limit = { num_pops &lt; 210 }
			add_modifier = { modifier = "buy_influence_drain_0105" days = -1 }
		}
</v>
      </c>
      <c r="Y13" t="str">
        <f>CHAR(9) &amp; CHAR(9) &amp; IF($B14="","else",IF(ROW(Y12)=ROW(Y$4),"if","else_if")) &amp; " = {
" &amp; IF($B14="","",CHAR(9) &amp; CHAR(9) &amp; CHAR(9) &amp; "limit = { num_pops &lt; " &amp; $B14 &amp; " }
") &amp; CHAR(9) &amp; CHAR(9) &amp; CHAR(9) &amp; "add_modifier = { modifier = ""buy_influence_drain_" &amp; IF(H13&lt;100,"00",IF(H13&lt;1000,"0","")) &amp; H13 &amp; """ days = -1 }
" &amp; CHAR(9) &amp; CHAR(9) &amp; "}
"</f>
        <v xml:space="preserve">		else_if = {
			limit = { num_pops &lt; 210 }
			add_modifier = { modifier = "buy_influence_drain_0140" days = -1 }
		}
</v>
      </c>
    </row>
    <row r="14" spans="2:26" x14ac:dyDescent="0.45">
      <c r="B14" s="21">
        <f t="shared" si="2"/>
        <v>210</v>
      </c>
      <c r="C14" s="19">
        <f t="shared" si="3"/>
        <v>239</v>
      </c>
      <c r="D14" s="31">
        <f t="shared" si="4"/>
        <v>4</v>
      </c>
      <c r="E14" s="18">
        <v>40</v>
      </c>
      <c r="F14" s="36">
        <v>80</v>
      </c>
      <c r="G14" s="36">
        <v>120</v>
      </c>
      <c r="H14" s="19">
        <v>160</v>
      </c>
      <c r="J14">
        <v>55</v>
      </c>
      <c r="K14">
        <f>INDEX(D:D,MATCH(J14,B:B,1))</f>
        <v>1.4</v>
      </c>
      <c r="O14" t="str">
        <f>CHAR(9) &amp; CHAR(9) &amp; CHAR(9) &amp; IF(ROW(O13)=ROW(O$4),"","else_") &amp; "if = {
" &amp; CHAR(9) &amp; CHAR(9) &amp; CHAR(9) &amp; CHAR(9) &amp; "limit = { NOT = { " &amp; IF($B15&lt;&gt;"", "AND = { num_pops &gt; " &amp; IF($B14=0,0,$B14-1) &amp; " num_pops &lt; " &amp; $B15 &amp; " ", "") &amp; "has_modifier = buy_influence_drain_" &amp; IF(E14&lt;100,"00",IF(E14&lt;1000,"0","")) &amp; E14 &amp; " "&amp; IF($B15&lt;&gt;"","}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IF(E14&lt;100,"00",IF(E14&lt;1000,"0","")) &amp; E14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209 num_pops &lt; 240 has_modifier = buy_influence_drain_0040 } } }
				if = {
					limit = { has_country_flag = buy_influence_auto_renew }
					country_event = { id = buy_influence.300 }
					add_modifier = { modifier = "buy_influence_drain_0040" days = -1 } }
				}
				else = {
					country_event = { id = buy_influence.100 }
				}
			}
</v>
      </c>
      <c r="P14" t="str">
        <f>CHAR(9) &amp; CHAR(9) &amp; CHAR(9) &amp; IF(ROW(P13)=ROW(P$4),"","else_") &amp; "if = {
" &amp; CHAR(9) &amp; CHAR(9) &amp; CHAR(9) &amp; CHAR(9) &amp; "limit = { NOT = { " &amp; IF($B15&lt;&gt;"", "AND = { num_pops &gt; " &amp; IF($B14=0,0,$B14-1) &amp; " num_pops &lt; " &amp; $B15 &amp; " ", "") &amp; "has_modifier = buy_influence_drain_" &amp; IF(F14&lt;100,"00",IF(F14&lt;1000,"0","")) &amp; F14 &amp; " "&amp; IF($B15&lt;&gt;"","}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IF(F14&lt;100,"00",IF(F14&lt;1000,"0","")) &amp; F14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209 num_pops &lt; 240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Q14" t="str">
        <f>CHAR(9) &amp; CHAR(9) &amp; CHAR(9) &amp; IF(ROW(Q13)=ROW(Q$4),"","else_") &amp; "if = {
" &amp; CHAR(9) &amp; CHAR(9) &amp; CHAR(9) &amp; CHAR(9) &amp; "limit = { NOT = { " &amp; IF($B15&lt;&gt;"", "AND = { num_pops &gt; " &amp; IF($B14=0,0,$B14-1) &amp; " num_pops &lt; " &amp; $B15 &amp; " ", "") &amp; "has_modifier = buy_influence_drain_" &amp; IF(G14&lt;100,"00",IF(G14&lt;1000,"0","")) &amp; G14 &amp; " "&amp; IF($B15&lt;&gt;"","}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IF(G14&lt;100,"00",IF(G14&lt;1000,"0","")) &amp; G14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209 num_pops &lt; 240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R14" t="str">
        <f>CHAR(9) &amp; CHAR(9) &amp; CHAR(9) &amp; IF(ROW(R13)=ROW(R$4),"","else_") &amp; "if = {
" &amp; CHAR(9) &amp; CHAR(9) &amp; CHAR(9) &amp; CHAR(9) &amp; "limit = { NOT = { " &amp; IF($B15&lt;&gt;"", "AND = { num_pops &gt; " &amp; IF($B14=0,0,$B14-1) &amp; " num_pops &lt; " &amp; $B15 &amp; " ", "") &amp; "has_modifier = buy_influence_drain_" &amp; IF(H14&lt;100,"00",IF(H14&lt;1000,"0","")) &amp; H14 &amp; " "&amp; IF($B15&lt;&gt;"","}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IF(H14&lt;100,"00",IF(H14&lt;1000,"0","")) &amp; H14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209 num_pops &lt; 240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V14" t="str">
        <f>CHAR(9) &amp; CHAR(9) &amp; IF($B15="","else",IF(ROW(V13)=ROW(V$4),"if","else_if")) &amp; " = {
" &amp; IF($B15="","",CHAR(9) &amp; CHAR(9) &amp; CHAR(9) &amp; "limit = { num_pops &lt; " &amp; $B15 &amp; " }
") &amp; CHAR(9) &amp; CHAR(9) &amp; CHAR(9) &amp; "add_modifier = { modifier = ""buy_influence_drain_" &amp; IF(E14&lt;100,"00",IF(E14&lt;1000,"0","")) &amp; E14 &amp; """ days = -1 }
" &amp; CHAR(9) &amp; CHAR(9) &amp; "}
"</f>
        <v xml:space="preserve">		else_if = {
			limit = { num_pops &lt; 240 }
			add_modifier = { modifier = "buy_influence_drain_0040" days = -1 }
		}
</v>
      </c>
      <c r="W14" t="str">
        <f>CHAR(9) &amp; CHAR(9) &amp; IF($B15="","else",IF(ROW(W13)=ROW(W$4),"if","else_if")) &amp; " = {
" &amp; IF($B15="","",CHAR(9) &amp; CHAR(9) &amp; CHAR(9) &amp; "limit = { num_pops &lt; " &amp; $B15 &amp; " }
") &amp; CHAR(9) &amp; CHAR(9) &amp; CHAR(9) &amp; "add_modifier = { modifier = ""buy_influence_drain_" &amp; IF(F14&lt;100,"00",IF(F14&lt;1000,"0","")) &amp; F14 &amp; """ days = -1 }
" &amp; CHAR(9) &amp; CHAR(9) &amp; "}
"</f>
        <v xml:space="preserve">		else_if = {
			limit = { num_pops &lt; 240 }
			add_modifier = { modifier = "buy_influence_drain_0080" days = -1 }
		}
</v>
      </c>
      <c r="X14" t="str">
        <f>CHAR(9) &amp; CHAR(9) &amp; IF($B15="","else",IF(ROW(X13)=ROW(X$4),"if","else_if")) &amp; " = {
" &amp; IF($B15="","",CHAR(9) &amp; CHAR(9) &amp; CHAR(9) &amp; "limit = { num_pops &lt; " &amp; $B15 &amp; " }
") &amp; CHAR(9) &amp; CHAR(9) &amp; CHAR(9) &amp; "add_modifier = { modifier = ""buy_influence_drain_" &amp; IF(G14&lt;100,"00",IF(G14&lt;1000,"0","")) &amp; G14 &amp; """ days = -1 }
" &amp; CHAR(9) &amp; CHAR(9) &amp; "}
"</f>
        <v xml:space="preserve">		else_if = {
			limit = { num_pops &lt; 240 }
			add_modifier = { modifier = "buy_influence_drain_0120" days = -1 }
		}
</v>
      </c>
      <c r="Y14" t="str">
        <f>CHAR(9) &amp; CHAR(9) &amp; IF($B15="","else",IF(ROW(Y13)=ROW(Y$4),"if","else_if")) &amp; " = {
" &amp; IF($B15="","",CHAR(9) &amp; CHAR(9) &amp; CHAR(9) &amp; "limit = { num_pops &lt; " &amp; $B15 &amp; " }
") &amp; CHAR(9) &amp; CHAR(9) &amp; CHAR(9) &amp; "add_modifier = { modifier = ""buy_influence_drain_" &amp; IF(H14&lt;100,"00",IF(H14&lt;1000,"0","")) &amp; H14 &amp; """ days = -1 }
" &amp; CHAR(9) &amp; CHAR(9) &amp; "}
"</f>
        <v xml:space="preserve">		else_if = {
			limit = { num_pops &lt; 240 }
			add_modifier = { modifier = "buy_influence_drain_0160" days = -1 }
		}
</v>
      </c>
    </row>
    <row r="15" spans="2:26" x14ac:dyDescent="0.45">
      <c r="B15" s="21">
        <f t="shared" si="2"/>
        <v>240</v>
      </c>
      <c r="C15" s="19">
        <f t="shared" si="3"/>
        <v>269</v>
      </c>
      <c r="D15" s="31">
        <f t="shared" si="4"/>
        <v>4.5</v>
      </c>
      <c r="E15" s="18">
        <v>45</v>
      </c>
      <c r="F15" s="36">
        <v>90</v>
      </c>
      <c r="G15" s="36">
        <v>135</v>
      </c>
      <c r="H15" s="19">
        <v>180</v>
      </c>
      <c r="J15">
        <v>60</v>
      </c>
      <c r="K15">
        <f>INDEX(D:D,MATCH(J15,B:B,1))</f>
        <v>1.4</v>
      </c>
      <c r="O15" t="str">
        <f>CHAR(9) &amp; CHAR(9) &amp; CHAR(9) &amp; IF(ROW(O14)=ROW(O$4),"","else_") &amp; "if = {
" &amp; CHAR(9) &amp; CHAR(9) &amp; CHAR(9) &amp; CHAR(9) &amp; "limit = { NOT = { " &amp; IF($B16&lt;&gt;"", "AND = { num_pops &gt; " &amp; IF($B15=0,0,$B15-1) &amp; " num_pops &lt; " &amp; $B16 &amp; " ", "") &amp; "has_modifier = buy_influence_drain_" &amp; IF(E15&lt;100,"00",IF(E15&lt;1000,"0","")) &amp; E15 &amp; " "&amp; IF($B16&lt;&gt;"","}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IF(E15&lt;100,"00",IF(E15&lt;1000,"0","")) &amp; E15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239 num_pops &lt; 270 has_modifier = buy_influence_drain_0045 } } }
				if = {
					limit = { has_country_flag = buy_influence_auto_renew }
					country_event = { id = buy_influence.300 }
					add_modifier = { modifier = "buy_influence_drain_0045" days = -1 } }
				}
				else = {
					country_event = { id = buy_influence.100 }
				}
			}
</v>
      </c>
      <c r="P15" t="str">
        <f>CHAR(9) &amp; CHAR(9) &amp; CHAR(9) &amp; IF(ROW(P14)=ROW(P$4),"","else_") &amp; "if = {
" &amp; CHAR(9) &amp; CHAR(9) &amp; CHAR(9) &amp; CHAR(9) &amp; "limit = { NOT = { " &amp; IF($B16&lt;&gt;"", "AND = { num_pops &gt; " &amp; IF($B15=0,0,$B15-1) &amp; " num_pops &lt; " &amp; $B16 &amp; " ", "") &amp; "has_modifier = buy_influence_drain_" &amp; IF(F15&lt;100,"00",IF(F15&lt;1000,"0","")) &amp; F15 &amp; " "&amp; IF($B16&lt;&gt;"","}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IF(F15&lt;100,"00",IF(F15&lt;1000,"0","")) &amp; F15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239 num_pops &lt; 270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Q15" t="str">
        <f>CHAR(9) &amp; CHAR(9) &amp; CHAR(9) &amp; IF(ROW(Q14)=ROW(Q$4),"","else_") &amp; "if = {
" &amp; CHAR(9) &amp; CHAR(9) &amp; CHAR(9) &amp; CHAR(9) &amp; "limit = { NOT = { " &amp; IF($B16&lt;&gt;"", "AND = { num_pops &gt; " &amp; IF($B15=0,0,$B15-1) &amp; " num_pops &lt; " &amp; $B16 &amp; " ", "") &amp; "has_modifier = buy_influence_drain_" &amp; IF(G15&lt;100,"00",IF(G15&lt;1000,"0","")) &amp; G15 &amp; " "&amp; IF($B16&lt;&gt;"","}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IF(G15&lt;100,"00",IF(G15&lt;1000,"0","")) &amp; G15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239 num_pops &lt; 270 has_modifier = buy_influence_drain_0135 } } }
				if = {
					limit = { has_country_flag = buy_influence_auto_renew }
					country_event = { id = buy_influence.300 }
					add_modifier = { modifier = "buy_influence_drain_0135" days = -1 } }
				}
				else = {
					country_event = { id = buy_influence.100 }
				}
			}
</v>
      </c>
      <c r="R15" t="str">
        <f>CHAR(9) &amp; CHAR(9) &amp; CHAR(9) &amp; IF(ROW(R14)=ROW(R$4),"","else_") &amp; "if = {
" &amp; CHAR(9) &amp; CHAR(9) &amp; CHAR(9) &amp; CHAR(9) &amp; "limit = { NOT = { " &amp; IF($B16&lt;&gt;"", "AND = { num_pops &gt; " &amp; IF($B15=0,0,$B15-1) &amp; " num_pops &lt; " &amp; $B16 &amp; " ", "") &amp; "has_modifier = buy_influence_drain_" &amp; IF(H15&lt;100,"00",IF(H15&lt;1000,"0","")) &amp; H15 &amp; " "&amp; IF($B16&lt;&gt;"","}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IF(H15&lt;100,"00",IF(H15&lt;1000,"0","")) &amp; H15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239 num_pops &lt; 270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V15" t="str">
        <f>CHAR(9) &amp; CHAR(9) &amp; IF($B16="","else",IF(ROW(V14)=ROW(V$4),"if","else_if")) &amp; " = {
" &amp; IF($B16="","",CHAR(9) &amp; CHAR(9) &amp; CHAR(9) &amp; "limit = { num_pops &lt; " &amp; $B16 &amp; " }
") &amp; CHAR(9) &amp; CHAR(9) &amp; CHAR(9) &amp; "add_modifier = { modifier = ""buy_influence_drain_" &amp; IF(E15&lt;100,"00",IF(E15&lt;1000,"0","")) &amp; E15 &amp; """ days = -1 }
" &amp; CHAR(9) &amp; CHAR(9) &amp; "}
"</f>
        <v xml:space="preserve">		else_if = {
			limit = { num_pops &lt; 270 }
			add_modifier = { modifier = "buy_influence_drain_0045" days = -1 }
		}
</v>
      </c>
      <c r="W15" t="str">
        <f>CHAR(9) &amp; CHAR(9) &amp; IF($B16="","else",IF(ROW(W14)=ROW(W$4),"if","else_if")) &amp; " = {
" &amp; IF($B16="","",CHAR(9) &amp; CHAR(9) &amp; CHAR(9) &amp; "limit = { num_pops &lt; " &amp; $B16 &amp; " }
") &amp; CHAR(9) &amp; CHAR(9) &amp; CHAR(9) &amp; "add_modifier = { modifier = ""buy_influence_drain_" &amp; IF(F15&lt;100,"00",IF(F15&lt;1000,"0","")) &amp; F15 &amp; """ days = -1 }
" &amp; CHAR(9) &amp; CHAR(9) &amp; "}
"</f>
        <v xml:space="preserve">		else_if = {
			limit = { num_pops &lt; 270 }
			add_modifier = { modifier = "buy_influence_drain_0090" days = -1 }
		}
</v>
      </c>
      <c r="X15" t="str">
        <f>CHAR(9) &amp; CHAR(9) &amp; IF($B16="","else",IF(ROW(X14)=ROW(X$4),"if","else_if")) &amp; " = {
" &amp; IF($B16="","",CHAR(9) &amp; CHAR(9) &amp; CHAR(9) &amp; "limit = { num_pops &lt; " &amp; $B16 &amp; " }
") &amp; CHAR(9) &amp; CHAR(9) &amp; CHAR(9) &amp; "add_modifier = { modifier = ""buy_influence_drain_" &amp; IF(G15&lt;100,"00",IF(G15&lt;1000,"0","")) &amp; G15 &amp; """ days = -1 }
" &amp; CHAR(9) &amp; CHAR(9) &amp; "}
"</f>
        <v xml:space="preserve">		else_if = {
			limit = { num_pops &lt; 270 }
			add_modifier = { modifier = "buy_influence_drain_0135" days = -1 }
		}
</v>
      </c>
      <c r="Y15" t="str">
        <f>CHAR(9) &amp; CHAR(9) &amp; IF($B16="","else",IF(ROW(Y14)=ROW(Y$4),"if","else_if")) &amp; " = {
" &amp; IF($B16="","",CHAR(9) &amp; CHAR(9) &amp; CHAR(9) &amp; "limit = { num_pops &lt; " &amp; $B16 &amp; " }
") &amp; CHAR(9) &amp; CHAR(9) &amp; CHAR(9) &amp; "add_modifier = { modifier = ""buy_influence_drain_" &amp; IF(H15&lt;100,"00",IF(H15&lt;1000,"0","")) &amp; H15 &amp; """ days = -1 }
" &amp; CHAR(9) &amp; CHAR(9) &amp; "}
"</f>
        <v xml:space="preserve">		else_if = {
			limit = { num_pops &lt; 270 }
			add_modifier = { modifier = "buy_influence_drain_0180" days = -1 }
		}
</v>
      </c>
    </row>
    <row r="16" spans="2:26" x14ac:dyDescent="0.45">
      <c r="B16" s="21">
        <f t="shared" si="2"/>
        <v>270</v>
      </c>
      <c r="C16" s="19">
        <f t="shared" si="3"/>
        <v>329</v>
      </c>
      <c r="D16" s="31">
        <f t="shared" si="4"/>
        <v>5</v>
      </c>
      <c r="E16" s="18">
        <v>50</v>
      </c>
      <c r="F16" s="36">
        <v>100</v>
      </c>
      <c r="G16" s="36">
        <v>150</v>
      </c>
      <c r="H16" s="19">
        <v>200</v>
      </c>
      <c r="J16">
        <v>65</v>
      </c>
      <c r="K16">
        <f>INDEX(D:D,MATCH(J16,B:B,1))</f>
        <v>1.4</v>
      </c>
      <c r="O16" t="str">
        <f>CHAR(9) &amp; CHAR(9) &amp; CHAR(9) &amp; IF(ROW(O15)=ROW(O$4),"","else_") &amp; "if = {
" &amp; CHAR(9) &amp; CHAR(9) &amp; CHAR(9) &amp; CHAR(9) &amp; "limit = { NOT = { " &amp; IF($B17&lt;&gt;"", "AND = { num_pops &gt; " &amp; IF($B16=0,0,$B16-1) &amp; " num_pops &lt; " &amp; $B17 &amp; " ", "") &amp; "has_modifier = buy_influence_drain_" &amp; IF(E16&lt;100,"00",IF(E16&lt;1000,"0","")) &amp; E16 &amp; " "&amp; IF($B17&lt;&gt;"","}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IF(E16&lt;100,"00",IF(E16&lt;1000,"0","")) &amp; E16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269 num_pops &lt; 330 has_modifier = buy_influence_drain_0050 } } }
				if = {
					limit = { has_country_flag = buy_influence_auto_renew }
					country_event = { id = buy_influence.300 }
					add_modifier = { modifier = "buy_influence_drain_0050" days = -1 } }
				}
				else = {
					country_event = { id = buy_influence.100 }
				}
			}
</v>
      </c>
      <c r="P16" t="str">
        <f>CHAR(9) &amp; CHAR(9) &amp; CHAR(9) &amp; IF(ROW(P15)=ROW(P$4),"","else_") &amp; "if = {
" &amp; CHAR(9) &amp; CHAR(9) &amp; CHAR(9) &amp; CHAR(9) &amp; "limit = { NOT = { " &amp; IF($B17&lt;&gt;"", "AND = { num_pops &gt; " &amp; IF($B16=0,0,$B16-1) &amp; " num_pops &lt; " &amp; $B17 &amp; " ", "") &amp; "has_modifier = buy_influence_drain_" &amp; IF(F16&lt;100,"00",IF(F16&lt;1000,"0","")) &amp; F16 &amp; " "&amp; IF($B17&lt;&gt;"","}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IF(F16&lt;100,"00",IF(F16&lt;1000,"0","")) &amp; F16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269 num_pops &lt; 330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Q16" t="str">
        <f>CHAR(9) &amp; CHAR(9) &amp; CHAR(9) &amp; IF(ROW(Q15)=ROW(Q$4),"","else_") &amp; "if = {
" &amp; CHAR(9) &amp; CHAR(9) &amp; CHAR(9) &amp; CHAR(9) &amp; "limit = { NOT = { " &amp; IF($B17&lt;&gt;"", "AND = { num_pops &gt; " &amp; IF($B16=0,0,$B16-1) &amp; " num_pops &lt; " &amp; $B17 &amp; " ", "") &amp; "has_modifier = buy_influence_drain_" &amp; IF(G16&lt;100,"00",IF(G16&lt;1000,"0","")) &amp; G16 &amp; " "&amp; IF($B17&lt;&gt;"","}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IF(G16&lt;100,"00",IF(G16&lt;1000,"0","")) &amp; G16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269 num_pops &lt; 330 has_modifier = buy_influence_drain_0150 } } }
				if = {
					limit = { has_country_flag = buy_influence_auto_renew }
					country_event = { id = buy_influence.300 }
					add_modifier = { modifier = "buy_influence_drain_0150" days = -1 } }
				}
				else = {
					country_event = { id = buy_influence.100 }
				}
			}
</v>
      </c>
      <c r="R16" t="str">
        <f>CHAR(9) &amp; CHAR(9) &amp; CHAR(9) &amp; IF(ROW(R15)=ROW(R$4),"","else_") &amp; "if = {
" &amp; CHAR(9) &amp; CHAR(9) &amp; CHAR(9) &amp; CHAR(9) &amp; "limit = { NOT = { " &amp; IF($B17&lt;&gt;"", "AND = { num_pops &gt; " &amp; IF($B16=0,0,$B16-1) &amp; " num_pops &lt; " &amp; $B17 &amp; " ", "") &amp; "has_modifier = buy_influence_drain_" &amp; IF(H16&lt;100,"00",IF(H16&lt;1000,"0","")) &amp; H16 &amp; " "&amp; IF($B17&lt;&gt;"","}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IF(H16&lt;100,"00",IF(H16&lt;1000,"0","")) &amp; H16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269 num_pops &lt; 330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V16" t="str">
        <f>CHAR(9) &amp; CHAR(9) &amp; IF($B17="","else",IF(ROW(V15)=ROW(V$4),"if","else_if")) &amp; " = {
" &amp; IF($B17="","",CHAR(9) &amp; CHAR(9) &amp; CHAR(9) &amp; "limit = { num_pops &lt; " &amp; $B17 &amp; " }
") &amp; CHAR(9) &amp; CHAR(9) &amp; CHAR(9) &amp; "add_modifier = { modifier = ""buy_influence_drain_" &amp; IF(E16&lt;100,"00",IF(E16&lt;1000,"0","")) &amp; E16 &amp; """ days = -1 }
" &amp; CHAR(9) &amp; CHAR(9) &amp; "}
"</f>
        <v xml:space="preserve">		else_if = {
			limit = { num_pops &lt; 330 }
			add_modifier = { modifier = "buy_influence_drain_0050" days = -1 }
		}
</v>
      </c>
      <c r="W16" t="str">
        <f>CHAR(9) &amp; CHAR(9) &amp; IF($B17="","else",IF(ROW(W15)=ROW(W$4),"if","else_if")) &amp; " = {
" &amp; IF($B17="","",CHAR(9) &amp; CHAR(9) &amp; CHAR(9) &amp; "limit = { num_pops &lt; " &amp; $B17 &amp; " }
") &amp; CHAR(9) &amp; CHAR(9) &amp; CHAR(9) &amp; "add_modifier = { modifier = ""buy_influence_drain_" &amp; IF(F16&lt;100,"00",IF(F16&lt;1000,"0","")) &amp; F16 &amp; """ days = -1 }
" &amp; CHAR(9) &amp; CHAR(9) &amp; "}
"</f>
        <v xml:space="preserve">		else_if = {
			limit = { num_pops &lt; 330 }
			add_modifier = { modifier = "buy_influence_drain_0100" days = -1 }
		}
</v>
      </c>
      <c r="X16" t="str">
        <f>CHAR(9) &amp; CHAR(9) &amp; IF($B17="","else",IF(ROW(X15)=ROW(X$4),"if","else_if")) &amp; " = {
" &amp; IF($B17="","",CHAR(9) &amp; CHAR(9) &amp; CHAR(9) &amp; "limit = { num_pops &lt; " &amp; $B17 &amp; " }
") &amp; CHAR(9) &amp; CHAR(9) &amp; CHAR(9) &amp; "add_modifier = { modifier = ""buy_influence_drain_" &amp; IF(G16&lt;100,"00",IF(G16&lt;1000,"0","")) &amp; G16 &amp; """ days = -1 }
" &amp; CHAR(9) &amp; CHAR(9) &amp; "}
"</f>
        <v xml:space="preserve">		else_if = {
			limit = { num_pops &lt; 330 }
			add_modifier = { modifier = "buy_influence_drain_0150" days = -1 }
		}
</v>
      </c>
      <c r="Y16" t="str">
        <f>CHAR(9) &amp; CHAR(9) &amp; IF($B17="","else",IF(ROW(Y15)=ROW(Y$4),"if","else_if")) &amp; " = {
" &amp; IF($B17="","",CHAR(9) &amp; CHAR(9) &amp; CHAR(9) &amp; "limit = { num_pops &lt; " &amp; $B17 &amp; " }
") &amp; CHAR(9) &amp; CHAR(9) &amp; CHAR(9) &amp; "add_modifier = { modifier = ""buy_influence_drain_" &amp; IF(H16&lt;100,"00",IF(H16&lt;1000,"0","")) &amp; H16 &amp; """ days = -1 }
" &amp; CHAR(9) &amp; CHAR(9) &amp; "}
"</f>
        <v xml:space="preserve">		else_if = {
			limit = { num_pops &lt; 330 }
			add_modifier = { modifier = "buy_influence_drain_0200" days = -1 }
		}
</v>
      </c>
    </row>
    <row r="17" spans="2:25" x14ac:dyDescent="0.45">
      <c r="B17" s="22">
        <f>B16+60</f>
        <v>330</v>
      </c>
      <c r="C17" s="19">
        <f t="shared" si="3"/>
        <v>389</v>
      </c>
      <c r="D17" s="32">
        <f>D16+1</f>
        <v>6</v>
      </c>
      <c r="E17" s="18">
        <v>60</v>
      </c>
      <c r="F17" s="36">
        <v>120</v>
      </c>
      <c r="G17" s="36">
        <v>180</v>
      </c>
      <c r="H17" s="19">
        <v>240</v>
      </c>
      <c r="J17">
        <v>70</v>
      </c>
      <c r="K17">
        <f>INDEX(D:D,MATCH(J17,B:B,1))</f>
        <v>1.5999999999999999</v>
      </c>
      <c r="O17" t="str">
        <f>CHAR(9) &amp; CHAR(9) &amp; CHAR(9) &amp; IF(ROW(O16)=ROW(O$4),"","else_") &amp; "if = {
" &amp; CHAR(9) &amp; CHAR(9) &amp; CHAR(9) &amp; CHAR(9) &amp; "limit = { NOT = { " &amp; IF($B18&lt;&gt;"", "AND = { num_pops &gt; " &amp; IF($B17=0,0,$B17-1) &amp; " num_pops &lt; " &amp; $B18 &amp; " ", "") &amp; "has_modifier = buy_influence_drain_" &amp; IF(E17&lt;100,"00",IF(E17&lt;1000,"0","")) &amp; E17 &amp; " "&amp; IF($B18&lt;&gt;"","}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IF(E17&lt;100,"00",IF(E17&lt;1000,"0","")) &amp; E17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329 num_pops &lt; 390 has_modifier = buy_influence_drain_0060 } } }
				if = {
					limit = { has_country_flag = buy_influence_auto_renew }
					country_event = { id = buy_influence.300 }
					add_modifier = { modifier = "buy_influence_drain_0060" days = -1 } }
				}
				else = {
					country_event = { id = buy_influence.100 }
				}
			}
</v>
      </c>
      <c r="P17" t="str">
        <f>CHAR(9) &amp; CHAR(9) &amp; CHAR(9) &amp; IF(ROW(P16)=ROW(P$4),"","else_") &amp; "if = {
" &amp; CHAR(9) &amp; CHAR(9) &amp; CHAR(9) &amp; CHAR(9) &amp; "limit = { NOT = { " &amp; IF($B18&lt;&gt;"", "AND = { num_pops &gt; " &amp; IF($B17=0,0,$B17-1) &amp; " num_pops &lt; " &amp; $B18 &amp; " ", "") &amp; "has_modifier = buy_influence_drain_" &amp; IF(F17&lt;100,"00",IF(F17&lt;1000,"0","")) &amp; F17 &amp; " "&amp; IF($B18&lt;&gt;"","}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IF(F17&lt;100,"00",IF(F17&lt;1000,"0","")) &amp; F17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329 num_pops &lt; 390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Q17" t="str">
        <f>CHAR(9) &amp; CHAR(9) &amp; CHAR(9) &amp; IF(ROW(Q16)=ROW(Q$4),"","else_") &amp; "if = {
" &amp; CHAR(9) &amp; CHAR(9) &amp; CHAR(9) &amp; CHAR(9) &amp; "limit = { NOT = { " &amp; IF($B18&lt;&gt;"", "AND = { num_pops &gt; " &amp; IF($B17=0,0,$B17-1) &amp; " num_pops &lt; " &amp; $B18 &amp; " ", "") &amp; "has_modifier = buy_influence_drain_" &amp; IF(G17&lt;100,"00",IF(G17&lt;1000,"0","")) &amp; G17 &amp; " "&amp; IF($B18&lt;&gt;"","}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IF(G17&lt;100,"00",IF(G17&lt;1000,"0","")) &amp; G17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329 num_pops &lt; 390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R17" t="str">
        <f>CHAR(9) &amp; CHAR(9) &amp; CHAR(9) &amp; IF(ROW(R16)=ROW(R$4),"","else_") &amp; "if = {
" &amp; CHAR(9) &amp; CHAR(9) &amp; CHAR(9) &amp; CHAR(9) &amp; "limit = { NOT = { " &amp; IF($B18&lt;&gt;"", "AND = { num_pops &gt; " &amp; IF($B17=0,0,$B17-1) &amp; " num_pops &lt; " &amp; $B18 &amp; " ", "") &amp; "has_modifier = buy_influence_drain_" &amp; IF(H17&lt;100,"00",IF(H17&lt;1000,"0","")) &amp; H17 &amp; " "&amp; IF($B18&lt;&gt;"","}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IF(H17&lt;100,"00",IF(H17&lt;1000,"0","")) &amp; H17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329 num_pops &lt; 390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V17" t="str">
        <f>CHAR(9) &amp; CHAR(9) &amp; IF($B18="","else",IF(ROW(V16)=ROW(V$4),"if","else_if")) &amp; " = {
" &amp; IF($B18="","",CHAR(9) &amp; CHAR(9) &amp; CHAR(9) &amp; "limit = { num_pops &lt; " &amp; $B18 &amp; " }
") &amp; CHAR(9) &amp; CHAR(9) &amp; CHAR(9) &amp; "add_modifier = { modifier = ""buy_influence_drain_" &amp; IF(E17&lt;100,"00",IF(E17&lt;1000,"0","")) &amp; E17 &amp; """ days = -1 }
" &amp; CHAR(9) &amp; CHAR(9) &amp; "}
"</f>
        <v xml:space="preserve">		else_if = {
			limit = { num_pops &lt; 390 }
			add_modifier = { modifier = "buy_influence_drain_0060" days = -1 }
		}
</v>
      </c>
      <c r="W17" t="str">
        <f>CHAR(9) &amp; CHAR(9) &amp; IF($B18="","else",IF(ROW(W16)=ROW(W$4),"if","else_if")) &amp; " = {
" &amp; IF($B18="","",CHAR(9) &amp; CHAR(9) &amp; CHAR(9) &amp; "limit = { num_pops &lt; " &amp; $B18 &amp; " }
") &amp; CHAR(9) &amp; CHAR(9) &amp; CHAR(9) &amp; "add_modifier = { modifier = ""buy_influence_drain_" &amp; IF(F17&lt;100,"00",IF(F17&lt;1000,"0","")) &amp; F17 &amp; """ days = -1 }
" &amp; CHAR(9) &amp; CHAR(9) &amp; "}
"</f>
        <v xml:space="preserve">		else_if = {
			limit = { num_pops &lt; 390 }
			add_modifier = { modifier = "buy_influence_drain_0120" days = -1 }
		}
</v>
      </c>
      <c r="X17" t="str">
        <f>CHAR(9) &amp; CHAR(9) &amp; IF($B18="","else",IF(ROW(X16)=ROW(X$4),"if","else_if")) &amp; " = {
" &amp; IF($B18="","",CHAR(9) &amp; CHAR(9) &amp; CHAR(9) &amp; "limit = { num_pops &lt; " &amp; $B18 &amp; " }
") &amp; CHAR(9) &amp; CHAR(9) &amp; CHAR(9) &amp; "add_modifier = { modifier = ""buy_influence_drain_" &amp; IF(G17&lt;100,"00",IF(G17&lt;1000,"0","")) &amp; G17 &amp; """ days = -1 }
" &amp; CHAR(9) &amp; CHAR(9) &amp; "}
"</f>
        <v xml:space="preserve">		else_if = {
			limit = { num_pops &lt; 390 }
			add_modifier = { modifier = "buy_influence_drain_0180" days = -1 }
		}
</v>
      </c>
      <c r="Y17" t="str">
        <f>CHAR(9) &amp; CHAR(9) &amp; IF($B18="","else",IF(ROW(Y16)=ROW(Y$4),"if","else_if")) &amp; " = {
" &amp; IF($B18="","",CHAR(9) &amp; CHAR(9) &amp; CHAR(9) &amp; "limit = { num_pops &lt; " &amp; $B18 &amp; " }
") &amp; CHAR(9) &amp; CHAR(9) &amp; CHAR(9) &amp; "add_modifier = { modifier = ""buy_influence_drain_" &amp; IF(H17&lt;100,"00",IF(H17&lt;1000,"0","")) &amp; H17 &amp; """ days = -1 }
" &amp; CHAR(9) &amp; CHAR(9) &amp; "}
"</f>
        <v xml:space="preserve">		else_if = {
			limit = { num_pops &lt; 390 }
			add_modifier = { modifier = "buy_influence_drain_0240" days = -1 }
		}
</v>
      </c>
    </row>
    <row r="18" spans="2:25" x14ac:dyDescent="0.45">
      <c r="B18" s="22">
        <f>B17+60</f>
        <v>390</v>
      </c>
      <c r="C18" s="19">
        <f t="shared" si="3"/>
        <v>449</v>
      </c>
      <c r="D18" s="32">
        <f>D17+1</f>
        <v>7</v>
      </c>
      <c r="E18" s="18">
        <v>70</v>
      </c>
      <c r="F18" s="36">
        <v>140</v>
      </c>
      <c r="G18" s="36">
        <v>210</v>
      </c>
      <c r="H18" s="19">
        <v>280</v>
      </c>
      <c r="J18">
        <v>75</v>
      </c>
      <c r="K18">
        <f>INDEX(D:D,MATCH(J18,B:B,1))</f>
        <v>1.5999999999999999</v>
      </c>
      <c r="O18" t="str">
        <f>CHAR(9) &amp; CHAR(9) &amp; CHAR(9) &amp; IF(ROW(O17)=ROW(O$4),"","else_") &amp; "if = {
" &amp; CHAR(9) &amp; CHAR(9) &amp; CHAR(9) &amp; CHAR(9) &amp; "limit = { NOT = { " &amp; IF($B19&lt;&gt;"", "AND = { num_pops &gt; " &amp; IF($B18=0,0,$B18-1) &amp; " num_pops &lt; " &amp; $B19 &amp; " ", "") &amp; "has_modifier = buy_influence_drain_" &amp; IF(E18&lt;100,"00",IF(E18&lt;1000,"0","")) &amp; E18 &amp; " "&amp; IF($B19&lt;&gt;"","}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IF(E18&lt;100,"00",IF(E18&lt;1000,"0","")) &amp; E18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389 num_pops &lt; 450 has_modifier = buy_influence_drain_0070 } } }
				if = {
					limit = { has_country_flag = buy_influence_auto_renew }
					country_event = { id = buy_influence.300 }
					add_modifier = { modifier = "buy_influence_drain_0070" days = -1 } }
				}
				else = {
					country_event = { id = buy_influence.100 }
				}
			}
</v>
      </c>
      <c r="P18" t="str">
        <f>CHAR(9) &amp; CHAR(9) &amp; CHAR(9) &amp; IF(ROW(P17)=ROW(P$4),"","else_") &amp; "if = {
" &amp; CHAR(9) &amp; CHAR(9) &amp; CHAR(9) &amp; CHAR(9) &amp; "limit = { NOT = { " &amp; IF($B19&lt;&gt;"", "AND = { num_pops &gt; " &amp; IF($B18=0,0,$B18-1) &amp; " num_pops &lt; " &amp; $B19 &amp; " ", "") &amp; "has_modifier = buy_influence_drain_" &amp; IF(F18&lt;100,"00",IF(F18&lt;1000,"0","")) &amp; F18 &amp; " "&amp; IF($B19&lt;&gt;"","}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IF(F18&lt;100,"00",IF(F18&lt;1000,"0","")) &amp; F18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389 num_pops &lt; 450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Q18" t="str">
        <f>CHAR(9) &amp; CHAR(9) &amp; CHAR(9) &amp; IF(ROW(Q17)=ROW(Q$4),"","else_") &amp; "if = {
" &amp; CHAR(9) &amp; CHAR(9) &amp; CHAR(9) &amp; CHAR(9) &amp; "limit = { NOT = { " &amp; IF($B19&lt;&gt;"", "AND = { num_pops &gt; " &amp; IF($B18=0,0,$B18-1) &amp; " num_pops &lt; " &amp; $B19 &amp; " ", "") &amp; "has_modifier = buy_influence_drain_" &amp; IF(G18&lt;100,"00",IF(G18&lt;1000,"0","")) &amp; G18 &amp; " "&amp; IF($B19&lt;&gt;"","}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IF(G18&lt;100,"00",IF(G18&lt;1000,"0","")) &amp; G18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389 num_pops &lt; 450 has_modifier = buy_influence_drain_0210 } } }
				if = {
					limit = { has_country_flag = buy_influence_auto_renew }
					country_event = { id = buy_influence.300 }
					add_modifier = { modifier = "buy_influence_drain_0210" days = -1 } }
				}
				else = {
					country_event = { id = buy_influence.100 }
				}
			}
</v>
      </c>
      <c r="R18" t="str">
        <f>CHAR(9) &amp; CHAR(9) &amp; CHAR(9) &amp; IF(ROW(R17)=ROW(R$4),"","else_") &amp; "if = {
" &amp; CHAR(9) &amp; CHAR(9) &amp; CHAR(9) &amp; CHAR(9) &amp; "limit = { NOT = { " &amp; IF($B19&lt;&gt;"", "AND = { num_pops &gt; " &amp; IF($B18=0,0,$B18-1) &amp; " num_pops &lt; " &amp; $B19 &amp; " ", "") &amp; "has_modifier = buy_influence_drain_" &amp; IF(H18&lt;100,"00",IF(H18&lt;1000,"0","")) &amp; H18 &amp; " "&amp; IF($B19&lt;&gt;"","}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IF(H18&lt;100,"00",IF(H18&lt;1000,"0","")) &amp; H18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389 num_pops &lt; 450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</v>
      </c>
      <c r="V18" t="str">
        <f>CHAR(9) &amp; CHAR(9) &amp; IF($B19="","else",IF(ROW(V17)=ROW(V$4),"if","else_if")) &amp; " = {
" &amp; IF($B19="","",CHAR(9) &amp; CHAR(9) &amp; CHAR(9) &amp; "limit = { num_pops &lt; " &amp; $B19 &amp; " }
") &amp; CHAR(9) &amp; CHAR(9) &amp; CHAR(9) &amp; "add_modifier = { modifier = ""buy_influence_drain_" &amp; IF(E18&lt;100,"00",IF(E18&lt;1000,"0","")) &amp; E18 &amp; """ days = -1 }
" &amp; CHAR(9) &amp; CHAR(9) &amp; "}
"</f>
        <v xml:space="preserve">		else_if = {
			limit = { num_pops &lt; 450 }
			add_modifier = { modifier = "buy_influence_drain_0070" days = -1 }
		}
</v>
      </c>
      <c r="W18" t="str">
        <f>CHAR(9) &amp; CHAR(9) &amp; IF($B19="","else",IF(ROW(W17)=ROW(W$4),"if","else_if")) &amp; " = {
" &amp; IF($B19="","",CHAR(9) &amp; CHAR(9) &amp; CHAR(9) &amp; "limit = { num_pops &lt; " &amp; $B19 &amp; " }
") &amp; CHAR(9) &amp; CHAR(9) &amp; CHAR(9) &amp; "add_modifier = { modifier = ""buy_influence_drain_" &amp; IF(F18&lt;100,"00",IF(F18&lt;1000,"0","")) &amp; F18 &amp; """ days = -1 }
" &amp; CHAR(9) &amp; CHAR(9) &amp; "}
"</f>
        <v xml:space="preserve">		else_if = {
			limit = { num_pops &lt; 450 }
			add_modifier = { modifier = "buy_influence_drain_0140" days = -1 }
		}
</v>
      </c>
      <c r="X18" t="str">
        <f>CHAR(9) &amp; CHAR(9) &amp; IF($B19="","else",IF(ROW(X17)=ROW(X$4),"if","else_if")) &amp; " = {
" &amp; IF($B19="","",CHAR(9) &amp; CHAR(9) &amp; CHAR(9) &amp; "limit = { num_pops &lt; " &amp; $B19 &amp; " }
") &amp; CHAR(9) &amp; CHAR(9) &amp; CHAR(9) &amp; "add_modifier = { modifier = ""buy_influence_drain_" &amp; IF(G18&lt;100,"00",IF(G18&lt;1000,"0","")) &amp; G18 &amp; """ days = -1 }
" &amp; CHAR(9) &amp; CHAR(9) &amp; "}
"</f>
        <v xml:space="preserve">		else_if = {
			limit = { num_pops &lt; 450 }
			add_modifier = { modifier = "buy_influence_drain_0210" days = -1 }
		}
</v>
      </c>
      <c r="Y18" t="str">
        <f>CHAR(9) &amp; CHAR(9) &amp; IF($B19="","else",IF(ROW(Y17)=ROW(Y$4),"if","else_if")) &amp; " = {
" &amp; IF($B19="","",CHAR(9) &amp; CHAR(9) &amp; CHAR(9) &amp; "limit = { num_pops &lt; " &amp; $B19 &amp; " }
") &amp; CHAR(9) &amp; CHAR(9) &amp; CHAR(9) &amp; "add_modifier = { modifier = ""buy_influence_drain_" &amp; IF(H18&lt;100,"00",IF(H18&lt;1000,"0","")) &amp; H18 &amp; """ days = -1 }
" &amp; CHAR(9) &amp; CHAR(9) &amp; "}
"</f>
        <v xml:space="preserve">		else_if = {
			limit = { num_pops &lt; 450 }
			add_modifier = { modifier = "buy_influence_drain_0280" days = -1 }
		}
</v>
      </c>
    </row>
    <row r="19" spans="2:25" x14ac:dyDescent="0.45">
      <c r="B19" s="22">
        <f>B18+60</f>
        <v>450</v>
      </c>
      <c r="C19" s="19">
        <f t="shared" si="3"/>
        <v>509</v>
      </c>
      <c r="D19" s="32">
        <f>D18+1</f>
        <v>8</v>
      </c>
      <c r="E19" s="18">
        <v>80</v>
      </c>
      <c r="F19" s="36">
        <v>160</v>
      </c>
      <c r="G19" s="36">
        <v>240</v>
      </c>
      <c r="H19" s="19">
        <v>320</v>
      </c>
      <c r="J19">
        <v>80</v>
      </c>
      <c r="K19">
        <f>INDEX(D:D,MATCH(J19,B:B,1))</f>
        <v>1.7999999999999998</v>
      </c>
      <c r="O19" t="str">
        <f>CHAR(9) &amp; CHAR(9) &amp; CHAR(9) &amp; IF(ROW(O18)=ROW(O$4),"","else_") &amp; "if = {
" &amp; CHAR(9) &amp; CHAR(9) &amp; CHAR(9) &amp; CHAR(9) &amp; "limit = { NOT = { " &amp; IF($B20&lt;&gt;"", "AND = { num_pops &gt; " &amp; IF($B19=0,0,$B19-1) &amp; " num_pops &lt; " &amp; $B20 &amp; " ", "") &amp; "has_modifier = buy_influence_drain_" &amp; IF(E19&lt;100,"00",IF(E19&lt;1000,"0","")) &amp; E19 &amp; " "&amp; IF($B20&lt;&gt;"","}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IF(E19&lt;100,"00",IF(E19&lt;1000,"0","")) &amp; E19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449 num_pops &lt; 510 has_modifier = buy_influence_drain_0080 } } }
				if = {
					limit = { has_country_flag = buy_influence_auto_renew }
					country_event = { id = buy_influence.300 }
					add_modifier = { modifier = "buy_influence_drain_0080" days = -1 } }
				}
				else = {
					country_event = { id = buy_influence.100 }
				}
			}
</v>
      </c>
      <c r="P19" t="str">
        <f>CHAR(9) &amp; CHAR(9) &amp; CHAR(9) &amp; IF(ROW(P18)=ROW(P$4),"","else_") &amp; "if = {
" &amp; CHAR(9) &amp; CHAR(9) &amp; CHAR(9) &amp; CHAR(9) &amp; "limit = { NOT = { " &amp; IF($B20&lt;&gt;"", "AND = { num_pops &gt; " &amp; IF($B19=0,0,$B19-1) &amp; " num_pops &lt; " &amp; $B20 &amp; " ", "") &amp; "has_modifier = buy_influence_drain_" &amp; IF(F19&lt;100,"00",IF(F19&lt;1000,"0","")) &amp; F19 &amp; " "&amp; IF($B20&lt;&gt;"","}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IF(F19&lt;100,"00",IF(F19&lt;1000,"0","")) &amp; F19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449 num_pops &lt; 510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Q19" t="str">
        <f>CHAR(9) &amp; CHAR(9) &amp; CHAR(9) &amp; IF(ROW(Q18)=ROW(Q$4),"","else_") &amp; "if = {
" &amp; CHAR(9) &amp; CHAR(9) &amp; CHAR(9) &amp; CHAR(9) &amp; "limit = { NOT = { " &amp; IF($B20&lt;&gt;"", "AND = { num_pops &gt; " &amp; IF($B19=0,0,$B19-1) &amp; " num_pops &lt; " &amp; $B20 &amp; " ", "") &amp; "has_modifier = buy_influence_drain_" &amp; IF(G19&lt;100,"00",IF(G19&lt;1000,"0","")) &amp; G19 &amp; " "&amp; IF($B20&lt;&gt;"","}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IF(G19&lt;100,"00",IF(G19&lt;1000,"0","")) &amp; G19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449 num_pops &lt; 510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R19" t="str">
        <f>CHAR(9) &amp; CHAR(9) &amp; CHAR(9) &amp; IF(ROW(R18)=ROW(R$4),"","else_") &amp; "if = {
" &amp; CHAR(9) &amp; CHAR(9) &amp; CHAR(9) &amp; CHAR(9) &amp; "limit = { NOT = { " &amp; IF($B20&lt;&gt;"", "AND = { num_pops &gt; " &amp; IF($B19=0,0,$B19-1) &amp; " num_pops &lt; " &amp; $B20 &amp; " ", "") &amp; "has_modifier = buy_influence_drain_" &amp; IF(H19&lt;100,"00",IF(H19&lt;1000,"0","")) &amp; H19 &amp; " "&amp; IF($B20&lt;&gt;"","}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IF(H19&lt;100,"00",IF(H19&lt;1000,"0","")) &amp; H19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449 num_pops &lt; 510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</v>
      </c>
      <c r="V19" t="str">
        <f>CHAR(9) &amp; CHAR(9) &amp; IF($B20="","else",IF(ROW(V18)=ROW(V$4),"if","else_if")) &amp; " = {
" &amp; IF($B20="","",CHAR(9) &amp; CHAR(9) &amp; CHAR(9) &amp; "limit = { num_pops &lt; " &amp; $B20 &amp; " }
") &amp; CHAR(9) &amp; CHAR(9) &amp; CHAR(9) &amp; "add_modifier = { modifier = ""buy_influence_drain_" &amp; IF(E19&lt;100,"00",IF(E19&lt;1000,"0","")) &amp; E19 &amp; """ days = -1 }
" &amp; CHAR(9) &amp; CHAR(9) &amp; "}
"</f>
        <v xml:space="preserve">		else_if = {
			limit = { num_pops &lt; 510 }
			add_modifier = { modifier = "buy_influence_drain_0080" days = -1 }
		}
</v>
      </c>
      <c r="W19" t="str">
        <f>CHAR(9) &amp; CHAR(9) &amp; IF($B20="","else",IF(ROW(W18)=ROW(W$4),"if","else_if")) &amp; " = {
" &amp; IF($B20="","",CHAR(9) &amp; CHAR(9) &amp; CHAR(9) &amp; "limit = { num_pops &lt; " &amp; $B20 &amp; " }
") &amp; CHAR(9) &amp; CHAR(9) &amp; CHAR(9) &amp; "add_modifier = { modifier = ""buy_influence_drain_" &amp; IF(F19&lt;100,"00",IF(F19&lt;1000,"0","")) &amp; F19 &amp; """ days = -1 }
" &amp; CHAR(9) &amp; CHAR(9) &amp; "}
"</f>
        <v xml:space="preserve">		else_if = {
			limit = { num_pops &lt; 510 }
			add_modifier = { modifier = "buy_influence_drain_0160" days = -1 }
		}
</v>
      </c>
      <c r="X19" t="str">
        <f>CHAR(9) &amp; CHAR(9) &amp; IF($B20="","else",IF(ROW(X18)=ROW(X$4),"if","else_if")) &amp; " = {
" &amp; IF($B20="","",CHAR(9) &amp; CHAR(9) &amp; CHAR(9) &amp; "limit = { num_pops &lt; " &amp; $B20 &amp; " }
") &amp; CHAR(9) &amp; CHAR(9) &amp; CHAR(9) &amp; "add_modifier = { modifier = ""buy_influence_drain_" &amp; IF(G19&lt;100,"00",IF(G19&lt;1000,"0","")) &amp; G19 &amp; """ days = -1 }
" &amp; CHAR(9) &amp; CHAR(9) &amp; "}
"</f>
        <v xml:space="preserve">		else_if = {
			limit = { num_pops &lt; 510 }
			add_modifier = { modifier = "buy_influence_drain_0240" days = -1 }
		}
</v>
      </c>
      <c r="Y19" t="str">
        <f>CHAR(9) &amp; CHAR(9) &amp; IF($B20="","else",IF(ROW(Y18)=ROW(Y$4),"if","else_if")) &amp; " = {
" &amp; IF($B20="","",CHAR(9) &amp; CHAR(9) &amp; CHAR(9) &amp; "limit = { num_pops &lt; " &amp; $B20 &amp; " }
") &amp; CHAR(9) &amp; CHAR(9) &amp; CHAR(9) &amp; "add_modifier = { modifier = ""buy_influence_drain_" &amp; IF(H19&lt;100,"00",IF(H19&lt;1000,"0","")) &amp; H19 &amp; """ days = -1 }
" &amp; CHAR(9) &amp; CHAR(9) &amp; "}
"</f>
        <v xml:space="preserve">		else_if = {
			limit = { num_pops &lt; 510 }
			add_modifier = { modifier = "buy_influence_drain_0320" days = -1 }
		}
</v>
      </c>
    </row>
    <row r="20" spans="2:25" x14ac:dyDescent="0.45">
      <c r="B20" s="22">
        <f>B19+60</f>
        <v>510</v>
      </c>
      <c r="C20" s="19">
        <f t="shared" si="3"/>
        <v>569</v>
      </c>
      <c r="D20" s="32">
        <f>D19+1</f>
        <v>9</v>
      </c>
      <c r="E20" s="18">
        <v>90</v>
      </c>
      <c r="F20" s="36">
        <v>180</v>
      </c>
      <c r="G20" s="36">
        <v>270</v>
      </c>
      <c r="H20" s="19">
        <v>360</v>
      </c>
      <c r="J20">
        <v>85</v>
      </c>
      <c r="K20">
        <f>INDEX(D:D,MATCH(J20,B:B,1))</f>
        <v>1.7999999999999998</v>
      </c>
      <c r="O20" t="str">
        <f>CHAR(9) &amp; CHAR(9) &amp; CHAR(9) &amp; IF(ROW(O19)=ROW(O$4),"","else_") &amp; "if = {
" &amp; CHAR(9) &amp; CHAR(9) &amp; CHAR(9) &amp; CHAR(9) &amp; "limit = { NOT = { " &amp; IF($B21&lt;&gt;"", "AND = { num_pops &gt; " &amp; IF($B20=0,0,$B20-1) &amp; " num_pops &lt; " &amp; $B21 &amp; " ", "") &amp; "has_modifier = buy_influence_drain_" &amp; IF(E20&lt;100,"00",IF(E20&lt;1000,"0","")) &amp; E20 &amp; " "&amp; IF($B21&lt;&gt;"","}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IF(E20&lt;100,"00",IF(E20&lt;1000,"0","")) &amp; E20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509 num_pops &lt; 570 has_modifier = buy_influence_drain_0090 } } }
				if = {
					limit = { has_country_flag = buy_influence_auto_renew }
					country_event = { id = buy_influence.300 }
					add_modifier = { modifier = "buy_influence_drain_0090" days = -1 } }
				}
				else = {
					country_event = { id = buy_influence.100 }
				}
			}
</v>
      </c>
      <c r="P20" t="str">
        <f>CHAR(9) &amp; CHAR(9) &amp; CHAR(9) &amp; IF(ROW(P19)=ROW(P$4),"","else_") &amp; "if = {
" &amp; CHAR(9) &amp; CHAR(9) &amp; CHAR(9) &amp; CHAR(9) &amp; "limit = { NOT = { " &amp; IF($B21&lt;&gt;"", "AND = { num_pops &gt; " &amp; IF($B20=0,0,$B20-1) &amp; " num_pops &lt; " &amp; $B21 &amp; " ", "") &amp; "has_modifier = buy_influence_drain_" &amp; IF(F20&lt;100,"00",IF(F20&lt;1000,"0","")) &amp; F20 &amp; " "&amp; IF($B21&lt;&gt;"","}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IF(F20&lt;100,"00",IF(F20&lt;1000,"0","")) &amp; F20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509 num_pops &lt; 570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Q20" t="str">
        <f>CHAR(9) &amp; CHAR(9) &amp; CHAR(9) &amp; IF(ROW(Q19)=ROW(Q$4),"","else_") &amp; "if = {
" &amp; CHAR(9) &amp; CHAR(9) &amp; CHAR(9) &amp; CHAR(9) &amp; "limit = { NOT = { " &amp; IF($B21&lt;&gt;"", "AND = { num_pops &gt; " &amp; IF($B20=0,0,$B20-1) &amp; " num_pops &lt; " &amp; $B21 &amp; " ", "") &amp; "has_modifier = buy_influence_drain_" &amp; IF(G20&lt;100,"00",IF(G20&lt;1000,"0","")) &amp; G20 &amp; " "&amp; IF($B21&lt;&gt;"","}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IF(G20&lt;100,"00",IF(G20&lt;1000,"0","")) &amp; G20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509 num_pops &lt; 570 has_modifier = buy_influence_drain_0270 } } }
				if = {
					limit = { has_country_flag = buy_influence_auto_renew }
					country_event = { id = buy_influence.300 }
					add_modifier = { modifier = "buy_influence_drain_0270" days = -1 } }
				}
				else = {
					country_event = { id = buy_influence.100 }
				}
			}
</v>
      </c>
      <c r="R20" t="str">
        <f>CHAR(9) &amp; CHAR(9) &amp; CHAR(9) &amp; IF(ROW(R19)=ROW(R$4),"","else_") &amp; "if = {
" &amp; CHAR(9) &amp; CHAR(9) &amp; CHAR(9) &amp; CHAR(9) &amp; "limit = { NOT = { " &amp; IF($B21&lt;&gt;"", "AND = { num_pops &gt; " &amp; IF($B20=0,0,$B20-1) &amp; " num_pops &lt; " &amp; $B21 &amp; " ", "") &amp; "has_modifier = buy_influence_drain_" &amp; IF(H20&lt;100,"00",IF(H20&lt;1000,"0","")) &amp; H20 &amp; " "&amp; IF($B21&lt;&gt;"","}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IF(H20&lt;100,"00",IF(H20&lt;1000,"0","")) &amp; H20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509 num_pops &lt; 570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V20" t="str">
        <f>CHAR(9) &amp; CHAR(9) &amp; IF($B21="","else",IF(ROW(V19)=ROW(V$4),"if","else_if")) &amp; " = {
" &amp; IF($B21="","",CHAR(9) &amp; CHAR(9) &amp; CHAR(9) &amp; "limit = { num_pops &lt; " &amp; $B21 &amp; " }
") &amp; CHAR(9) &amp; CHAR(9) &amp; CHAR(9) &amp; "add_modifier = { modifier = ""buy_influence_drain_" &amp; IF(E20&lt;100,"00",IF(E20&lt;1000,"0","")) &amp; E20 &amp; """ days = -1 }
" &amp; CHAR(9) &amp; CHAR(9) &amp; "}
"</f>
        <v xml:space="preserve">		else_if = {
			limit = { num_pops &lt; 570 }
			add_modifier = { modifier = "buy_influence_drain_0090" days = -1 }
		}
</v>
      </c>
      <c r="W20" t="str">
        <f>CHAR(9) &amp; CHAR(9) &amp; IF($B21="","else",IF(ROW(W19)=ROW(W$4),"if","else_if")) &amp; " = {
" &amp; IF($B21="","",CHAR(9) &amp; CHAR(9) &amp; CHAR(9) &amp; "limit = { num_pops &lt; " &amp; $B21 &amp; " }
") &amp; CHAR(9) &amp; CHAR(9) &amp; CHAR(9) &amp; "add_modifier = { modifier = ""buy_influence_drain_" &amp; IF(F20&lt;100,"00",IF(F20&lt;1000,"0","")) &amp; F20 &amp; """ days = -1 }
" &amp; CHAR(9) &amp; CHAR(9) &amp; "}
"</f>
        <v xml:space="preserve">		else_if = {
			limit = { num_pops &lt; 570 }
			add_modifier = { modifier = "buy_influence_drain_0180" days = -1 }
		}
</v>
      </c>
      <c r="X20" t="str">
        <f>CHAR(9) &amp; CHAR(9) &amp; IF($B21="","else",IF(ROW(X19)=ROW(X$4),"if","else_if")) &amp; " = {
" &amp; IF($B21="","",CHAR(9) &amp; CHAR(9) &amp; CHAR(9) &amp; "limit = { num_pops &lt; " &amp; $B21 &amp; " }
") &amp; CHAR(9) &amp; CHAR(9) &amp; CHAR(9) &amp; "add_modifier = { modifier = ""buy_influence_drain_" &amp; IF(G20&lt;100,"00",IF(G20&lt;1000,"0","")) &amp; G20 &amp; """ days = -1 }
" &amp; CHAR(9) &amp; CHAR(9) &amp; "}
"</f>
        <v xml:space="preserve">		else_if = {
			limit = { num_pops &lt; 570 }
			add_modifier = { modifier = "buy_influence_drain_0270" days = -1 }
		}
</v>
      </c>
      <c r="Y20" t="str">
        <f>CHAR(9) &amp; CHAR(9) &amp; IF($B21="","else",IF(ROW(Y19)=ROW(Y$4),"if","else_if")) &amp; " = {
" &amp; IF($B21="","",CHAR(9) &amp; CHAR(9) &amp; CHAR(9) &amp; "limit = { num_pops &lt; " &amp; $B21 &amp; " }
") &amp; CHAR(9) &amp; CHAR(9) &amp; CHAR(9) &amp; "add_modifier = { modifier = ""buy_influence_drain_" &amp; IF(H20&lt;100,"00",IF(H20&lt;1000,"0","")) &amp; H20 &amp; """ days = -1 }
" &amp; CHAR(9) &amp; CHAR(9) &amp; "}
"</f>
        <v xml:space="preserve">		else_if = {
			limit = { num_pops &lt; 570 }
			add_modifier = { modifier = "buy_influence_drain_0360" days = -1 }
		}
</v>
      </c>
    </row>
    <row r="21" spans="2:25" x14ac:dyDescent="0.45">
      <c r="B21" s="22">
        <f>B20+60</f>
        <v>570</v>
      </c>
      <c r="C21" s="19">
        <f t="shared" si="3"/>
        <v>689</v>
      </c>
      <c r="D21" s="32">
        <f>D20+1</f>
        <v>10</v>
      </c>
      <c r="E21" s="18">
        <v>100</v>
      </c>
      <c r="F21" s="36">
        <v>200</v>
      </c>
      <c r="G21" s="36">
        <v>300</v>
      </c>
      <c r="H21" s="19">
        <v>400</v>
      </c>
      <c r="J21">
        <v>90</v>
      </c>
      <c r="K21">
        <f>INDEX(D:D,MATCH(J21,B:B,1))</f>
        <v>1.9999999999999998</v>
      </c>
      <c r="O21" t="str">
        <f>CHAR(9) &amp; CHAR(9) &amp; CHAR(9) &amp; IF(ROW(O20)=ROW(O$4),"","else_") &amp; "if = {
" &amp; CHAR(9) &amp; CHAR(9) &amp; CHAR(9) &amp; CHAR(9) &amp; "limit = { NOT = { " &amp; IF($B22&lt;&gt;"", "AND = { num_pops &gt; " &amp; IF($B21=0,0,$B21-1) &amp; " num_pops &lt; " &amp; $B22 &amp; " ", "") &amp; "has_modifier = buy_influence_drain_" &amp; IF(E21&lt;100,"00",IF(E21&lt;1000,"0","")) &amp; E21 &amp; " "&amp; IF($B22&lt;&gt;"","}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IF(E21&lt;100,"00",IF(E21&lt;1000,"0","")) &amp; E21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569 num_pops &lt; 690 has_modifier = buy_influence_drain_0100 } } }
				if = {
					limit = { has_country_flag = buy_influence_auto_renew }
					country_event = { id = buy_influence.300 }
					add_modifier = { modifier = "buy_influence_drain_0100" days = -1 } }
				}
				else = {
					country_event = { id = buy_influence.100 }
				}
			}
</v>
      </c>
      <c r="P21" t="str">
        <f>CHAR(9) &amp; CHAR(9) &amp; CHAR(9) &amp; IF(ROW(P20)=ROW(P$4),"","else_") &amp; "if = {
" &amp; CHAR(9) &amp; CHAR(9) &amp; CHAR(9) &amp; CHAR(9) &amp; "limit = { NOT = { " &amp; IF($B22&lt;&gt;"", "AND = { num_pops &gt; " &amp; IF($B21=0,0,$B21-1) &amp; " num_pops &lt; " &amp; $B22 &amp; " ", "") &amp; "has_modifier = buy_influence_drain_" &amp; IF(F21&lt;100,"00",IF(F21&lt;1000,"0","")) &amp; F21 &amp; " "&amp; IF($B22&lt;&gt;"","}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IF(F21&lt;100,"00",IF(F21&lt;1000,"0","")) &amp; F21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569 num_pops &lt; 690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Q21" t="str">
        <f>CHAR(9) &amp; CHAR(9) &amp; CHAR(9) &amp; IF(ROW(Q20)=ROW(Q$4),"","else_") &amp; "if = {
" &amp; CHAR(9) &amp; CHAR(9) &amp; CHAR(9) &amp; CHAR(9) &amp; "limit = { NOT = { " &amp; IF($B22&lt;&gt;"", "AND = { num_pops &gt; " &amp; IF($B21=0,0,$B21-1) &amp; " num_pops &lt; " &amp; $B22 &amp; " ", "") &amp; "has_modifier = buy_influence_drain_" &amp; IF(G21&lt;100,"00",IF(G21&lt;1000,"0","")) &amp; G21 &amp; " "&amp; IF($B22&lt;&gt;"","}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IF(G21&lt;100,"00",IF(G21&lt;1000,"0","")) &amp; G21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569 num_pops &lt; 690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</v>
      </c>
      <c r="R21" t="str">
        <f>CHAR(9) &amp; CHAR(9) &amp; CHAR(9) &amp; IF(ROW(R20)=ROW(R$4),"","else_") &amp; "if = {
" &amp; CHAR(9) &amp; CHAR(9) &amp; CHAR(9) &amp; CHAR(9) &amp; "limit = { NOT = { " &amp; IF($B22&lt;&gt;"", "AND = { num_pops &gt; " &amp; IF($B21=0,0,$B21-1) &amp; " num_pops &lt; " &amp; $B22 &amp; " ", "") &amp; "has_modifier = buy_influence_drain_" &amp; IF(H21&lt;100,"00",IF(H21&lt;1000,"0","")) &amp; H21 &amp; " "&amp; IF($B22&lt;&gt;"","}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IF(H21&lt;100,"00",IF(H21&lt;1000,"0","")) &amp; H21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569 num_pops &lt; 690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V21" t="str">
        <f>CHAR(9) &amp; CHAR(9) &amp; IF($B22="","else",IF(ROW(V20)=ROW(V$4),"if","else_if")) &amp; " = {
" &amp; IF($B22="","",CHAR(9) &amp; CHAR(9) &amp; CHAR(9) &amp; "limit = { num_pops &lt; " &amp; $B22 &amp; " }
") &amp; CHAR(9) &amp; CHAR(9) &amp; CHAR(9) &amp; "add_modifier = { modifier = ""buy_influence_drain_" &amp; IF(E21&lt;100,"00",IF(E21&lt;1000,"0","")) &amp; E21 &amp; """ days = -1 }
" &amp; CHAR(9) &amp; CHAR(9) &amp; "}
"</f>
        <v xml:space="preserve">		else_if = {
			limit = { num_pops &lt; 690 }
			add_modifier = { modifier = "buy_influence_drain_0100" days = -1 }
		}
</v>
      </c>
      <c r="W21" t="str">
        <f>CHAR(9) &amp; CHAR(9) &amp; IF($B22="","else",IF(ROW(W20)=ROW(W$4),"if","else_if")) &amp; " = {
" &amp; IF($B22="","",CHAR(9) &amp; CHAR(9) &amp; CHAR(9) &amp; "limit = { num_pops &lt; " &amp; $B22 &amp; " }
") &amp; CHAR(9) &amp; CHAR(9) &amp; CHAR(9) &amp; "add_modifier = { modifier = ""buy_influence_drain_" &amp; IF(F21&lt;100,"00",IF(F21&lt;1000,"0","")) &amp; F21 &amp; """ days = -1 }
" &amp; CHAR(9) &amp; CHAR(9) &amp; "}
"</f>
        <v xml:space="preserve">		else_if = {
			limit = { num_pops &lt; 690 }
			add_modifier = { modifier = "buy_influence_drain_0200" days = -1 }
		}
</v>
      </c>
      <c r="X21" t="str">
        <f>CHAR(9) &amp; CHAR(9) &amp; IF($B22="","else",IF(ROW(X20)=ROW(X$4),"if","else_if")) &amp; " = {
" &amp; IF($B22="","",CHAR(9) &amp; CHAR(9) &amp; CHAR(9) &amp; "limit = { num_pops &lt; " &amp; $B22 &amp; " }
") &amp; CHAR(9) &amp; CHAR(9) &amp; CHAR(9) &amp; "add_modifier = { modifier = ""buy_influence_drain_" &amp; IF(G21&lt;100,"00",IF(G21&lt;1000,"0","")) &amp; G21 &amp; """ days = -1 }
" &amp; CHAR(9) &amp; CHAR(9) &amp; "}
"</f>
        <v xml:space="preserve">		else_if = {
			limit = { num_pops &lt; 690 }
			add_modifier = { modifier = "buy_influence_drain_0300" days = -1 }
		}
</v>
      </c>
      <c r="Y21" t="str">
        <f>CHAR(9) &amp; CHAR(9) &amp; IF($B22="","else",IF(ROW(Y20)=ROW(Y$4),"if","else_if")) &amp; " = {
" &amp; IF($B22="","",CHAR(9) &amp; CHAR(9) &amp; CHAR(9) &amp; "limit = { num_pops &lt; " &amp; $B22 &amp; " }
") &amp; CHAR(9) &amp; CHAR(9) &amp; CHAR(9) &amp; "add_modifier = { modifier = ""buy_influence_drain_" &amp; IF(H21&lt;100,"00",IF(H21&lt;1000,"0","")) &amp; H21 &amp; """ days = -1 }
" &amp; CHAR(9) &amp; CHAR(9) &amp; "}
"</f>
        <v xml:space="preserve">		else_if = {
			limit = { num_pops &lt; 690 }
			add_modifier = { modifier = "buy_influence_drain_0400" days = -1 }
		}
</v>
      </c>
    </row>
    <row r="22" spans="2:25" x14ac:dyDescent="0.45">
      <c r="B22" s="23">
        <f>B21+120</f>
        <v>690</v>
      </c>
      <c r="C22" s="19">
        <f t="shared" si="3"/>
        <v>809</v>
      </c>
      <c r="D22" s="33">
        <f>D21+2</f>
        <v>12</v>
      </c>
      <c r="E22" s="18">
        <v>120</v>
      </c>
      <c r="F22" s="36">
        <v>240</v>
      </c>
      <c r="G22" s="36">
        <v>360</v>
      </c>
      <c r="H22" s="19">
        <v>480</v>
      </c>
      <c r="J22">
        <v>95</v>
      </c>
      <c r="K22">
        <f>INDEX(D:D,MATCH(J22,B:B,1))</f>
        <v>1.9999999999999998</v>
      </c>
      <c r="O22" t="str">
        <f>CHAR(9) &amp; CHAR(9) &amp; CHAR(9) &amp; IF(ROW(O21)=ROW(O$4),"","else_") &amp; "if = {
" &amp; CHAR(9) &amp; CHAR(9) &amp; CHAR(9) &amp; CHAR(9) &amp; "limit = { NOT = { " &amp; IF($B23&lt;&gt;"", "AND = { num_pops &gt; " &amp; IF($B22=0,0,$B22-1) &amp; " num_pops &lt; " &amp; $B23 &amp; " ", "") &amp; "has_modifier = buy_influence_drain_" &amp; IF(E22&lt;100,"00",IF(E22&lt;1000,"0","")) &amp; E22 &amp; " "&amp; IF($B23&lt;&gt;"","}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IF(E22&lt;100,"00",IF(E22&lt;1000,"0","")) &amp; E22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689 num_pops &lt; 810 has_modifier = buy_influence_drain_0120 } } }
				if = {
					limit = { has_country_flag = buy_influence_auto_renew }
					country_event = { id = buy_influence.300 }
					add_modifier = { modifier = "buy_influence_drain_0120" days = -1 } }
				}
				else = {
					country_event = { id = buy_influence.100 }
				}
			}
</v>
      </c>
      <c r="P22" t="str">
        <f>CHAR(9) &amp; CHAR(9) &amp; CHAR(9) &amp; IF(ROW(P21)=ROW(P$4),"","else_") &amp; "if = {
" &amp; CHAR(9) &amp; CHAR(9) &amp; CHAR(9) &amp; CHAR(9) &amp; "limit = { NOT = { " &amp; IF($B23&lt;&gt;"", "AND = { num_pops &gt; " &amp; IF($B22=0,0,$B22-1) &amp; " num_pops &lt; " &amp; $B23 &amp; " ", "") &amp; "has_modifier = buy_influence_drain_" &amp; IF(F22&lt;100,"00",IF(F22&lt;1000,"0","")) &amp; F22 &amp; " "&amp; IF($B23&lt;&gt;"","}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IF(F22&lt;100,"00",IF(F22&lt;1000,"0","")) &amp; F22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689 num_pops &lt; 810 has_modifier = buy_influence_drain_0240 } } }
				if = {
					limit = { has_country_flag = buy_influence_auto_renew }
					country_event = { id = buy_influence.300 }
					add_modifier = { modifier = "buy_influence_drain_0240" days = -1 } }
				}
				else = {
					country_event = { id = buy_influence.100 }
				}
			}
</v>
      </c>
      <c r="Q22" t="str">
        <f>CHAR(9) &amp; CHAR(9) &amp; CHAR(9) &amp; IF(ROW(Q21)=ROW(Q$4),"","else_") &amp; "if = {
" &amp; CHAR(9) &amp; CHAR(9) &amp; CHAR(9) &amp; CHAR(9) &amp; "limit = { NOT = { " &amp; IF($B23&lt;&gt;"", "AND = { num_pops &gt; " &amp; IF($B22=0,0,$B22-1) &amp; " num_pops &lt; " &amp; $B23 &amp; " ", "") &amp; "has_modifier = buy_influence_drain_" &amp; IF(G22&lt;100,"00",IF(G22&lt;1000,"0","")) &amp; G22 &amp; " "&amp; IF($B23&lt;&gt;"","}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IF(G22&lt;100,"00",IF(G22&lt;1000,"0","")) &amp; G22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689 num_pops &lt; 810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R22" t="str">
        <f>CHAR(9) &amp; CHAR(9) &amp; CHAR(9) &amp; IF(ROW(R21)=ROW(R$4),"","else_") &amp; "if = {
" &amp; CHAR(9) &amp; CHAR(9) &amp; CHAR(9) &amp; CHAR(9) &amp; "limit = { NOT = { " &amp; IF($B23&lt;&gt;"", "AND = { num_pops &gt; " &amp; IF($B22=0,0,$B22-1) &amp; " num_pops &lt; " &amp; $B23 &amp; " ", "") &amp; "has_modifier = buy_influence_drain_" &amp; IF(H22&lt;100,"00",IF(H22&lt;1000,"0","")) &amp; H22 &amp; " "&amp; IF($B23&lt;&gt;"","}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IF(H22&lt;100,"00",IF(H22&lt;1000,"0","")) &amp; H22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689 num_pops &lt; 810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</v>
      </c>
      <c r="V22" t="str">
        <f>CHAR(9) &amp; CHAR(9) &amp; IF($B23="","else",IF(ROW(V21)=ROW(V$4),"if","else_if")) &amp; " = {
" &amp; IF($B23="","",CHAR(9) &amp; CHAR(9) &amp; CHAR(9) &amp; "limit = { num_pops &lt; " &amp; $B23 &amp; " }
") &amp; CHAR(9) &amp; CHAR(9) &amp; CHAR(9) &amp; "add_modifier = { modifier = ""buy_influence_drain_" &amp; IF(E22&lt;100,"00",IF(E22&lt;1000,"0","")) &amp; E22 &amp; """ days = -1 }
" &amp; CHAR(9) &amp; CHAR(9) &amp; "}
"</f>
        <v xml:space="preserve">		else_if = {
			limit = { num_pops &lt; 810 }
			add_modifier = { modifier = "buy_influence_drain_0120" days = -1 }
		}
</v>
      </c>
      <c r="W22" t="str">
        <f>CHAR(9) &amp; CHAR(9) &amp; IF($B23="","else",IF(ROW(W21)=ROW(W$4),"if","else_if")) &amp; " = {
" &amp; IF($B23="","",CHAR(9) &amp; CHAR(9) &amp; CHAR(9) &amp; "limit = { num_pops &lt; " &amp; $B23 &amp; " }
") &amp; CHAR(9) &amp; CHAR(9) &amp; CHAR(9) &amp; "add_modifier = { modifier = ""buy_influence_drain_" &amp; IF(F22&lt;100,"00",IF(F22&lt;1000,"0","")) &amp; F22 &amp; """ days = -1 }
" &amp; CHAR(9) &amp; CHAR(9) &amp; "}
"</f>
        <v xml:space="preserve">		else_if = {
			limit = { num_pops &lt; 810 }
			add_modifier = { modifier = "buy_influence_drain_0240" days = -1 }
		}
</v>
      </c>
      <c r="X22" t="str">
        <f>CHAR(9) &amp; CHAR(9) &amp; IF($B23="","else",IF(ROW(X21)=ROW(X$4),"if","else_if")) &amp; " = {
" &amp; IF($B23="","",CHAR(9) &amp; CHAR(9) &amp; CHAR(9) &amp; "limit = { num_pops &lt; " &amp; $B23 &amp; " }
") &amp; CHAR(9) &amp; CHAR(9) &amp; CHAR(9) &amp; "add_modifier = { modifier = ""buy_influence_drain_" &amp; IF(G22&lt;100,"00",IF(G22&lt;1000,"0","")) &amp; G22 &amp; """ days = -1 }
" &amp; CHAR(9) &amp; CHAR(9) &amp; "}
"</f>
        <v xml:space="preserve">		else_if = {
			limit = { num_pops &lt; 810 }
			add_modifier = { modifier = "buy_influence_drain_0360" days = -1 }
		}
</v>
      </c>
      <c r="Y22" t="str">
        <f>CHAR(9) &amp; CHAR(9) &amp; IF($B23="","else",IF(ROW(Y21)=ROW(Y$4),"if","else_if")) &amp; " = {
" &amp; IF($B23="","",CHAR(9) &amp; CHAR(9) &amp; CHAR(9) &amp; "limit = { num_pops &lt; " &amp; $B23 &amp; " }
") &amp; CHAR(9) &amp; CHAR(9) &amp; CHAR(9) &amp; "add_modifier = { modifier = ""buy_influence_drain_" &amp; IF(H22&lt;100,"00",IF(H22&lt;1000,"0","")) &amp; H22 &amp; """ days = -1 }
" &amp; CHAR(9) &amp; CHAR(9) &amp; "}
"</f>
        <v xml:space="preserve">		else_if = {
			limit = { num_pops &lt; 810 }
			add_modifier = { modifier = "buy_influence_drain_0480" days = -1 }
		}
</v>
      </c>
    </row>
    <row r="23" spans="2:25" x14ac:dyDescent="0.45">
      <c r="B23" s="23">
        <f>B22+120</f>
        <v>810</v>
      </c>
      <c r="C23" s="19">
        <f t="shared" si="3"/>
        <v>929</v>
      </c>
      <c r="D23" s="33">
        <f>D22+2</f>
        <v>14</v>
      </c>
      <c r="E23" s="18">
        <v>140</v>
      </c>
      <c r="F23" s="36">
        <v>280</v>
      </c>
      <c r="G23" s="36">
        <v>420</v>
      </c>
      <c r="H23" s="19">
        <v>560</v>
      </c>
      <c r="J23">
        <v>100</v>
      </c>
      <c r="K23">
        <f>INDEX(D:D,MATCH(J23,B:B,1))</f>
        <v>1.9999999999999998</v>
      </c>
      <c r="O23" t="str">
        <f>CHAR(9) &amp; CHAR(9) &amp; CHAR(9) &amp; IF(ROW(O22)=ROW(O$4),"","else_") &amp; "if = {
" &amp; CHAR(9) &amp; CHAR(9) &amp; CHAR(9) &amp; CHAR(9) &amp; "limit = { NOT = { " &amp; IF($B24&lt;&gt;"", "AND = { num_pops &gt; " &amp; IF($B23=0,0,$B23-1) &amp; " num_pops &lt; " &amp; $B24 &amp; " ", "") &amp; "has_modifier = buy_influence_drain_" &amp; IF(E23&lt;100,"00",IF(E23&lt;1000,"0","")) &amp; E23 &amp; " "&amp; IF($B24&lt;&gt;"","}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IF(E23&lt;100,"00",IF(E23&lt;1000,"0","")) &amp; E23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809 num_pops &lt; 930 has_modifier = buy_influence_drain_0140 } } }
				if = {
					limit = { has_country_flag = buy_influence_auto_renew }
					country_event = { id = buy_influence.300 }
					add_modifier = { modifier = "buy_influence_drain_0140" days = -1 } }
				}
				else = {
					country_event = { id = buy_influence.100 }
				}
			}
</v>
      </c>
      <c r="P23" t="str">
        <f>CHAR(9) &amp; CHAR(9) &amp; CHAR(9) &amp; IF(ROW(P22)=ROW(P$4),"","else_") &amp; "if = {
" &amp; CHAR(9) &amp; CHAR(9) &amp; CHAR(9) &amp; CHAR(9) &amp; "limit = { NOT = { " &amp; IF($B24&lt;&gt;"", "AND = { num_pops &gt; " &amp; IF($B23=0,0,$B23-1) &amp; " num_pops &lt; " &amp; $B24 &amp; " ", "") &amp; "has_modifier = buy_influence_drain_" &amp; IF(F23&lt;100,"00",IF(F23&lt;1000,"0","")) &amp; F23 &amp; " "&amp; IF($B24&lt;&gt;"","}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IF(F23&lt;100,"00",IF(F23&lt;1000,"0","")) &amp; F23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809 num_pops &lt; 930 has_modifier = buy_influence_drain_0280 } } }
				if = {
					limit = { has_country_flag = buy_influence_auto_renew }
					country_event = { id = buy_influence.300 }
					add_modifier = { modifier = "buy_influence_drain_0280" days = -1 } }
				}
				else = {
					country_event = { id = buy_influence.100 }
				}
			}
</v>
      </c>
      <c r="Q23" t="str">
        <f>CHAR(9) &amp; CHAR(9) &amp; CHAR(9) &amp; IF(ROW(Q22)=ROW(Q$4),"","else_") &amp; "if = {
" &amp; CHAR(9) &amp; CHAR(9) &amp; CHAR(9) &amp; CHAR(9) &amp; "limit = { NOT = { " &amp; IF($B24&lt;&gt;"", "AND = { num_pops &gt; " &amp; IF($B23=0,0,$B23-1) &amp; " num_pops &lt; " &amp; $B24 &amp; " ", "") &amp; "has_modifier = buy_influence_drain_" &amp; IF(G23&lt;100,"00",IF(G23&lt;1000,"0","")) &amp; G23 &amp; " "&amp; IF($B24&lt;&gt;"","}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IF(G23&lt;100,"00",IF(G23&lt;1000,"0","")) &amp; G23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809 num_pops &lt; 930 has_modifier = buy_influence_drain_0420 } } }
				if = {
					limit = { has_country_flag = buy_influence_auto_renew }
					country_event = { id = buy_influence.300 }
					add_modifier = { modifier = "buy_influence_drain_0420" days = -1 } }
				}
				else = {
					country_event = { id = buy_influence.100 }
				}
			}
</v>
      </c>
      <c r="R23" t="str">
        <f>CHAR(9) &amp; CHAR(9) &amp; CHAR(9) &amp; IF(ROW(R22)=ROW(R$4),"","else_") &amp; "if = {
" &amp; CHAR(9) &amp; CHAR(9) &amp; CHAR(9) &amp; CHAR(9) &amp; "limit = { NOT = { " &amp; IF($B24&lt;&gt;"", "AND = { num_pops &gt; " &amp; IF($B23=0,0,$B23-1) &amp; " num_pops &lt; " &amp; $B24 &amp; " ", "") &amp; "has_modifier = buy_influence_drain_" &amp; IF(H23&lt;100,"00",IF(H23&lt;1000,"0","")) &amp; H23 &amp; " "&amp; IF($B24&lt;&gt;"","}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IF(H23&lt;100,"00",IF(H23&lt;1000,"0","")) &amp; H23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809 num_pops &lt; 930 has_modifier = buy_influence_drain_0560 } } }
				if = {
					limit = { has_country_flag = buy_influence_auto_renew }
					country_event = { id = buy_influence.300 }
					add_modifier = { modifier = "buy_influence_drain_0560" days = -1 } }
				}
				else = {
					country_event = { id = buy_influence.100 }
				}
			}
</v>
      </c>
      <c r="V23" t="str">
        <f>CHAR(9) &amp; CHAR(9) &amp; IF($B24="","else",IF(ROW(V22)=ROW(V$4),"if","else_if")) &amp; " = {
" &amp; IF($B24="","",CHAR(9) &amp; CHAR(9) &amp; CHAR(9) &amp; "limit = { num_pops &lt; " &amp; $B24 &amp; " }
") &amp; CHAR(9) &amp; CHAR(9) &amp; CHAR(9) &amp; "add_modifier = { modifier = ""buy_influence_drain_" &amp; IF(E23&lt;100,"00",IF(E23&lt;1000,"0","")) &amp; E23 &amp; """ days = -1 }
" &amp; CHAR(9) &amp; CHAR(9) &amp; "}
"</f>
        <v xml:space="preserve">		else_if = {
			limit = { num_pops &lt; 930 }
			add_modifier = { modifier = "buy_influence_drain_0140" days = -1 }
		}
</v>
      </c>
      <c r="W23" t="str">
        <f>CHAR(9) &amp; CHAR(9) &amp; IF($B24="","else",IF(ROW(W22)=ROW(W$4),"if","else_if")) &amp; " = {
" &amp; IF($B24="","",CHAR(9) &amp; CHAR(9) &amp; CHAR(9) &amp; "limit = { num_pops &lt; " &amp; $B24 &amp; " }
") &amp; CHAR(9) &amp; CHAR(9) &amp; CHAR(9) &amp; "add_modifier = { modifier = ""buy_influence_drain_" &amp; IF(F23&lt;100,"00",IF(F23&lt;1000,"0","")) &amp; F23 &amp; """ days = -1 }
" &amp; CHAR(9) &amp; CHAR(9) &amp; "}
"</f>
        <v xml:space="preserve">		else_if = {
			limit = { num_pops &lt; 930 }
			add_modifier = { modifier = "buy_influence_drain_0280" days = -1 }
		}
</v>
      </c>
      <c r="X23" t="str">
        <f>CHAR(9) &amp; CHAR(9) &amp; IF($B24="","else",IF(ROW(X22)=ROW(X$4),"if","else_if")) &amp; " = {
" &amp; IF($B24="","",CHAR(9) &amp; CHAR(9) &amp; CHAR(9) &amp; "limit = { num_pops &lt; " &amp; $B24 &amp; " }
") &amp; CHAR(9) &amp; CHAR(9) &amp; CHAR(9) &amp; "add_modifier = { modifier = ""buy_influence_drain_" &amp; IF(G23&lt;100,"00",IF(G23&lt;1000,"0","")) &amp; G23 &amp; """ days = -1 }
" &amp; CHAR(9) &amp; CHAR(9) &amp; "}
"</f>
        <v xml:space="preserve">		else_if = {
			limit = { num_pops &lt; 930 }
			add_modifier = { modifier = "buy_influence_drain_0420" days = -1 }
		}
</v>
      </c>
      <c r="Y23" t="str">
        <f>CHAR(9) &amp; CHAR(9) &amp; IF($B24="","else",IF(ROW(Y22)=ROW(Y$4),"if","else_if")) &amp; " = {
" &amp; IF($B24="","",CHAR(9) &amp; CHAR(9) &amp; CHAR(9) &amp; "limit = { num_pops &lt; " &amp; $B24 &amp; " }
") &amp; CHAR(9) &amp; CHAR(9) &amp; CHAR(9) &amp; "add_modifier = { modifier = ""buy_influence_drain_" &amp; IF(H23&lt;100,"00",IF(H23&lt;1000,"0","")) &amp; H23 &amp; """ days = -1 }
" &amp; CHAR(9) &amp; CHAR(9) &amp; "}
"</f>
        <v xml:space="preserve">		else_if = {
			limit = { num_pops &lt; 930 }
			add_modifier = { modifier = "buy_influence_drain_0560" days = -1 }
		}
</v>
      </c>
    </row>
    <row r="24" spans="2:25" x14ac:dyDescent="0.45">
      <c r="B24" s="23">
        <f>B23+120</f>
        <v>930</v>
      </c>
      <c r="C24" s="19">
        <f t="shared" si="3"/>
        <v>1049</v>
      </c>
      <c r="D24" s="33">
        <f>D23+2</f>
        <v>16</v>
      </c>
      <c r="E24" s="18">
        <v>160</v>
      </c>
      <c r="F24" s="36">
        <v>320</v>
      </c>
      <c r="G24" s="36">
        <v>480</v>
      </c>
      <c r="H24" s="19">
        <v>640</v>
      </c>
      <c r="J24">
        <v>105</v>
      </c>
      <c r="K24">
        <f>INDEX(D:D,MATCH(J24,B:B,1))</f>
        <v>1.9999999999999998</v>
      </c>
      <c r="O24" t="str">
        <f>CHAR(9) &amp; CHAR(9) &amp; CHAR(9) &amp; IF(ROW(O23)=ROW(O$4),"","else_") &amp; "if = {
" &amp; CHAR(9) &amp; CHAR(9) &amp; CHAR(9) &amp; CHAR(9) &amp; "limit = { NOT = { " &amp; IF($B25&lt;&gt;"", "AND = { num_pops &gt; " &amp; IF($B24=0,0,$B24-1) &amp; " num_pops &lt; " &amp; $B25 &amp; " ", "") &amp; "has_modifier = buy_influence_drain_" &amp; IF(E24&lt;100,"00",IF(E24&lt;1000,"0","")) &amp; E24 &amp; " "&amp; IF($B25&lt;&gt;"","}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IF(E24&lt;100,"00",IF(E24&lt;1000,"0","")) &amp; E24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929 num_pops &lt; 1050 has_modifier = buy_influence_drain_0160 } } }
				if = {
					limit = { has_country_flag = buy_influence_auto_renew }
					country_event = { id = buy_influence.300 }
					add_modifier = { modifier = "buy_influence_drain_0160" days = -1 } }
				}
				else = {
					country_event = { id = buy_influence.100 }
				}
			}
</v>
      </c>
      <c r="P24" t="str">
        <f>CHAR(9) &amp; CHAR(9) &amp; CHAR(9) &amp; IF(ROW(P23)=ROW(P$4),"","else_") &amp; "if = {
" &amp; CHAR(9) &amp; CHAR(9) &amp; CHAR(9) &amp; CHAR(9) &amp; "limit = { NOT = { " &amp; IF($B25&lt;&gt;"", "AND = { num_pops &gt; " &amp; IF($B24=0,0,$B24-1) &amp; " num_pops &lt; " &amp; $B25 &amp; " ", "") &amp; "has_modifier = buy_influence_drain_" &amp; IF(F24&lt;100,"00",IF(F24&lt;1000,"0","")) &amp; F24 &amp; " "&amp; IF($B25&lt;&gt;"","}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IF(F24&lt;100,"00",IF(F24&lt;1000,"0","")) &amp; F24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929 num_pops &lt; 1050 has_modifier = buy_influence_drain_0320 } } }
				if = {
					limit = { has_country_flag = buy_influence_auto_renew }
					country_event = { id = buy_influence.300 }
					add_modifier = { modifier = "buy_influence_drain_0320" days = -1 } }
				}
				else = {
					country_event = { id = buy_influence.100 }
				}
			}
</v>
      </c>
      <c r="Q24" t="str">
        <f>CHAR(9) &amp; CHAR(9) &amp; CHAR(9) &amp; IF(ROW(Q23)=ROW(Q$4),"","else_") &amp; "if = {
" &amp; CHAR(9) &amp; CHAR(9) &amp; CHAR(9) &amp; CHAR(9) &amp; "limit = { NOT = { " &amp; IF($B25&lt;&gt;"", "AND = { num_pops &gt; " &amp; IF($B24=0,0,$B24-1) &amp; " num_pops &lt; " &amp; $B25 &amp; " ", "") &amp; "has_modifier = buy_influence_drain_" &amp; IF(G24&lt;100,"00",IF(G24&lt;1000,"0","")) &amp; G24 &amp; " "&amp; IF($B25&lt;&gt;"","}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IF(G24&lt;100,"00",IF(G24&lt;1000,"0","")) &amp; G24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929 num_pops &lt; 1050 has_modifier = buy_influence_drain_0480 } } }
				if = {
					limit = { has_country_flag = buy_influence_auto_renew }
					country_event = { id = buy_influence.300 }
					add_modifier = { modifier = "buy_influence_drain_0480" days = -1 } }
				}
				else = {
					country_event = { id = buy_influence.100 }
				}
			}
</v>
      </c>
      <c r="R24" t="str">
        <f>CHAR(9) &amp; CHAR(9) &amp; CHAR(9) &amp; IF(ROW(R23)=ROW(R$4),"","else_") &amp; "if = {
" &amp; CHAR(9) &amp; CHAR(9) &amp; CHAR(9) &amp; CHAR(9) &amp; "limit = { NOT = { " &amp; IF($B25&lt;&gt;"", "AND = { num_pops &gt; " &amp; IF($B24=0,0,$B24-1) &amp; " num_pops &lt; " &amp; $B25 &amp; " ", "") &amp; "has_modifier = buy_influence_drain_" &amp; IF(H24&lt;100,"00",IF(H24&lt;1000,"0","")) &amp; H24 &amp; " "&amp; IF($B25&lt;&gt;"","}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IF(H24&lt;100,"00",IF(H24&lt;1000,"0","")) &amp; H24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929 num_pops &lt; 1050 has_modifier = buy_influence_drain_0640 } } }
				if = {
					limit = { has_country_flag = buy_influence_auto_renew }
					country_event = { id = buy_influence.300 }
					add_modifier = { modifier = "buy_influence_drain_0640" days = -1 } }
				}
				else = {
					country_event = { id = buy_influence.100 }
				}
			}
</v>
      </c>
      <c r="V24" t="str">
        <f>CHAR(9) &amp; CHAR(9) &amp; IF($B25="","else",IF(ROW(V23)=ROW(V$4),"if","else_if")) &amp; " = {
" &amp; IF($B25="","",CHAR(9) &amp; CHAR(9) &amp; CHAR(9) &amp; "limit = { num_pops &lt; " &amp; $B25 &amp; " }
") &amp; CHAR(9) &amp; CHAR(9) &amp; CHAR(9) &amp; "add_modifier = { modifier = ""buy_influence_drain_" &amp; IF(E24&lt;100,"00",IF(E24&lt;1000,"0","")) &amp; E24 &amp; """ days = -1 }
" &amp; CHAR(9) &amp; CHAR(9) &amp; "}
"</f>
        <v xml:space="preserve">		else_if = {
			limit = { num_pops &lt; 1050 }
			add_modifier = { modifier = "buy_influence_drain_0160" days = -1 }
		}
</v>
      </c>
      <c r="W24" t="str">
        <f>CHAR(9) &amp; CHAR(9) &amp; IF($B25="","else",IF(ROW(W23)=ROW(W$4),"if","else_if")) &amp; " = {
" &amp; IF($B25="","",CHAR(9) &amp; CHAR(9) &amp; CHAR(9) &amp; "limit = { num_pops &lt; " &amp; $B25 &amp; " }
") &amp; CHAR(9) &amp; CHAR(9) &amp; CHAR(9) &amp; "add_modifier = { modifier = ""buy_influence_drain_" &amp; IF(F24&lt;100,"00",IF(F24&lt;1000,"0","")) &amp; F24 &amp; """ days = -1 }
" &amp; CHAR(9) &amp; CHAR(9) &amp; "}
"</f>
        <v xml:space="preserve">		else_if = {
			limit = { num_pops &lt; 1050 }
			add_modifier = { modifier = "buy_influence_drain_0320" days = -1 }
		}
</v>
      </c>
      <c r="X24" t="str">
        <f>CHAR(9) &amp; CHAR(9) &amp; IF($B25="","else",IF(ROW(X23)=ROW(X$4),"if","else_if")) &amp; " = {
" &amp; IF($B25="","",CHAR(9) &amp; CHAR(9) &amp; CHAR(9) &amp; "limit = { num_pops &lt; " &amp; $B25 &amp; " }
") &amp; CHAR(9) &amp; CHAR(9) &amp; CHAR(9) &amp; "add_modifier = { modifier = ""buy_influence_drain_" &amp; IF(G24&lt;100,"00",IF(G24&lt;1000,"0","")) &amp; G24 &amp; """ days = -1 }
" &amp; CHAR(9) &amp; CHAR(9) &amp; "}
"</f>
        <v xml:space="preserve">		else_if = {
			limit = { num_pops &lt; 1050 }
			add_modifier = { modifier = "buy_influence_drain_0480" days = -1 }
		}
</v>
      </c>
      <c r="Y24" t="str">
        <f>CHAR(9) &amp; CHAR(9) &amp; IF($B25="","else",IF(ROW(Y23)=ROW(Y$4),"if","else_if")) &amp; " = {
" &amp; IF($B25="","",CHAR(9) &amp; CHAR(9) &amp; CHAR(9) &amp; "limit = { num_pops &lt; " &amp; $B25 &amp; " }
") &amp; CHAR(9) &amp; CHAR(9) &amp; CHAR(9) &amp; "add_modifier = { modifier = ""buy_influence_drain_" &amp; IF(H24&lt;100,"00",IF(H24&lt;1000,"0","")) &amp; H24 &amp; """ days = -1 }
" &amp; CHAR(9) &amp; CHAR(9) &amp; "}
"</f>
        <v xml:space="preserve">		else_if = {
			limit = { num_pops &lt; 1050 }
			add_modifier = { modifier = "buy_influence_drain_0640" days = -1 }
		}
</v>
      </c>
    </row>
    <row r="25" spans="2:25" x14ac:dyDescent="0.45">
      <c r="B25" s="23">
        <f>B24+120</f>
        <v>1050</v>
      </c>
      <c r="C25" s="19">
        <f t="shared" si="3"/>
        <v>1169</v>
      </c>
      <c r="D25" s="33">
        <f>D24+2</f>
        <v>18</v>
      </c>
      <c r="E25" s="18">
        <v>180</v>
      </c>
      <c r="F25" s="36">
        <v>360</v>
      </c>
      <c r="G25" s="36">
        <v>540</v>
      </c>
      <c r="H25" s="19">
        <v>720</v>
      </c>
      <c r="J25">
        <v>110</v>
      </c>
      <c r="K25">
        <f>INDEX(D:D,MATCH(J25,B:B,1))</f>
        <v>1.9999999999999998</v>
      </c>
      <c r="O25" t="str">
        <f>CHAR(9) &amp; CHAR(9) &amp; CHAR(9) &amp; IF(ROW(O24)=ROW(O$4),"","else_") &amp; "if = {
" &amp; CHAR(9) &amp; CHAR(9) &amp; CHAR(9) &amp; CHAR(9) &amp; "limit = { NOT = { " &amp; IF($B26&lt;&gt;"", "AND = { num_pops &gt; " &amp; IF($B25=0,0,$B25-1) &amp; " num_pops &lt; " &amp; $B26 &amp; " ", "") &amp; "has_modifier = buy_influence_drain_" &amp; IF(E25&lt;100,"00",IF(E25&lt;1000,"0","")) &amp; E25 &amp; " "&amp; IF($B26&lt;&gt;"","}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IF(E25&lt;100,"00",IF(E25&lt;1000,"0","")) &amp; E25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1049 num_pops &lt; 1170 has_modifier = buy_influence_drain_0180 } } }
				if = {
					limit = { has_country_flag = buy_influence_auto_renew }
					country_event = { id = buy_influence.300 }
					add_modifier = { modifier = "buy_influence_drain_0180" days = -1 } }
				}
				else = {
					country_event = { id = buy_influence.100 }
				}
			}
</v>
      </c>
      <c r="P25" t="str">
        <f>CHAR(9) &amp; CHAR(9) &amp; CHAR(9) &amp; IF(ROW(P24)=ROW(P$4),"","else_") &amp; "if = {
" &amp; CHAR(9) &amp; CHAR(9) &amp; CHAR(9) &amp; CHAR(9) &amp; "limit = { NOT = { " &amp; IF($B26&lt;&gt;"", "AND = { num_pops &gt; " &amp; IF($B25=0,0,$B25-1) &amp; " num_pops &lt; " &amp; $B26 &amp; " ", "") &amp; "has_modifier = buy_influence_drain_" &amp; IF(F25&lt;100,"00",IF(F25&lt;1000,"0","")) &amp; F25 &amp; " "&amp; IF($B26&lt;&gt;"","}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IF(F25&lt;100,"00",IF(F25&lt;1000,"0","")) &amp; F25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1049 num_pops &lt; 1170 has_modifier = buy_influence_drain_0360 } } }
				if = {
					limit = { has_country_flag = buy_influence_auto_renew }
					country_event = { id = buy_influence.300 }
					add_modifier = { modifier = "buy_influence_drain_0360" days = -1 } }
				}
				else = {
					country_event = { id = buy_influence.100 }
				}
			}
</v>
      </c>
      <c r="Q25" t="str">
        <f>CHAR(9) &amp; CHAR(9) &amp; CHAR(9) &amp; IF(ROW(Q24)=ROW(Q$4),"","else_") &amp; "if = {
" &amp; CHAR(9) &amp; CHAR(9) &amp; CHAR(9) &amp; CHAR(9) &amp; "limit = { NOT = { " &amp; IF($B26&lt;&gt;"", "AND = { num_pops &gt; " &amp; IF($B25=0,0,$B25-1) &amp; " num_pops &lt; " &amp; $B26 &amp; " ", "") &amp; "has_modifier = buy_influence_drain_" &amp; IF(G25&lt;100,"00",IF(G25&lt;1000,"0","")) &amp; G25 &amp; " "&amp; IF($B26&lt;&gt;"","}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IF(G25&lt;100,"00",IF(G25&lt;1000,"0","")) &amp; G25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1049 num_pops &lt; 1170 has_modifier = buy_influence_drain_0540 } } }
				if = {
					limit = { has_country_flag = buy_influence_auto_renew }
					country_event = { id = buy_influence.300 }
					add_modifier = { modifier = "buy_influence_drain_0540" days = -1 } }
				}
				else = {
					country_event = { id = buy_influence.100 }
				}
			}
</v>
      </c>
      <c r="R25" t="str">
        <f>CHAR(9) &amp; CHAR(9) &amp; CHAR(9) &amp; IF(ROW(R24)=ROW(R$4),"","else_") &amp; "if = {
" &amp; CHAR(9) &amp; CHAR(9) &amp; CHAR(9) &amp; CHAR(9) &amp; "limit = { NOT = { " &amp; IF($B26&lt;&gt;"", "AND = { num_pops &gt; " &amp; IF($B25=0,0,$B25-1) &amp; " num_pops &lt; " &amp; $B26 &amp; " ", "") &amp; "has_modifier = buy_influence_drain_" &amp; IF(H25&lt;100,"00",IF(H25&lt;1000,"0","")) &amp; H25 &amp; " "&amp; IF($B26&lt;&gt;"","}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IF(H25&lt;100,"00",IF(H25&lt;1000,"0","")) &amp; H25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1049 num_pops &lt; 1170 has_modifier = buy_influence_drain_0720 } } }
				if = {
					limit = { has_country_flag = buy_influence_auto_renew }
					country_event = { id = buy_influence.300 }
					add_modifier = { modifier = "buy_influence_drain_0720" days = -1 } }
				}
				else = {
					country_event = { id = buy_influence.100 }
				}
			}
</v>
      </c>
      <c r="V25" t="str">
        <f>CHAR(9) &amp; CHAR(9) &amp; IF($B26="","else",IF(ROW(V24)=ROW(V$4),"if","else_if")) &amp; " = {
" &amp; IF($B26="","",CHAR(9) &amp; CHAR(9) &amp; CHAR(9) &amp; "limit = { num_pops &lt; " &amp; $B26 &amp; " }
") &amp; CHAR(9) &amp; CHAR(9) &amp; CHAR(9) &amp; "add_modifier = { modifier = ""buy_influence_drain_" &amp; IF(E25&lt;100,"00",IF(E25&lt;1000,"0","")) &amp; E25 &amp; """ days = -1 }
" &amp; CHAR(9) &amp; CHAR(9) &amp; "}
"</f>
        <v xml:space="preserve">		else_if = {
			limit = { num_pops &lt; 1170 }
			add_modifier = { modifier = "buy_influence_drain_0180" days = -1 }
		}
</v>
      </c>
      <c r="W25" t="str">
        <f>CHAR(9) &amp; CHAR(9) &amp; IF($B26="","else",IF(ROW(W24)=ROW(W$4),"if","else_if")) &amp; " = {
" &amp; IF($B26="","",CHAR(9) &amp; CHAR(9) &amp; CHAR(9) &amp; "limit = { num_pops &lt; " &amp; $B26 &amp; " }
") &amp; CHAR(9) &amp; CHAR(9) &amp; CHAR(9) &amp; "add_modifier = { modifier = ""buy_influence_drain_" &amp; IF(F25&lt;100,"00",IF(F25&lt;1000,"0","")) &amp; F25 &amp; """ days = -1 }
" &amp; CHAR(9) &amp; CHAR(9) &amp; "}
"</f>
        <v xml:space="preserve">		else_if = {
			limit = { num_pops &lt; 1170 }
			add_modifier = { modifier = "buy_influence_drain_0360" days = -1 }
		}
</v>
      </c>
      <c r="X25" t="str">
        <f>CHAR(9) &amp; CHAR(9) &amp; IF($B26="","else",IF(ROW(X24)=ROW(X$4),"if","else_if")) &amp; " = {
" &amp; IF($B26="","",CHAR(9) &amp; CHAR(9) &amp; CHAR(9) &amp; "limit = { num_pops &lt; " &amp; $B26 &amp; " }
") &amp; CHAR(9) &amp; CHAR(9) &amp; CHAR(9) &amp; "add_modifier = { modifier = ""buy_influence_drain_" &amp; IF(G25&lt;100,"00",IF(G25&lt;1000,"0","")) &amp; G25 &amp; """ days = -1 }
" &amp; CHAR(9) &amp; CHAR(9) &amp; "}
"</f>
        <v xml:space="preserve">		else_if = {
			limit = { num_pops &lt; 1170 }
			add_modifier = { modifier = "buy_influence_drain_0540" days = -1 }
		}
</v>
      </c>
      <c r="Y25" t="str">
        <f>CHAR(9) &amp; CHAR(9) &amp; IF($B26="","else",IF(ROW(Y24)=ROW(Y$4),"if","else_if")) &amp; " = {
" &amp; IF($B26="","",CHAR(9) &amp; CHAR(9) &amp; CHAR(9) &amp; "limit = { num_pops &lt; " &amp; $B26 &amp; " }
") &amp; CHAR(9) &amp; CHAR(9) &amp; CHAR(9) &amp; "add_modifier = { modifier = ""buy_influence_drain_" &amp; IF(H25&lt;100,"00",IF(H25&lt;1000,"0","")) &amp; H25 &amp; """ days = -1 }
" &amp; CHAR(9) &amp; CHAR(9) &amp; "}
"</f>
        <v xml:space="preserve">		else_if = {
			limit = { num_pops &lt; 1170 }
			add_modifier = { modifier = "buy_influence_drain_0720" days = -1 }
		}
</v>
      </c>
    </row>
    <row r="26" spans="2:25" x14ac:dyDescent="0.45">
      <c r="B26" s="23">
        <f>B25+120</f>
        <v>1170</v>
      </c>
      <c r="C26" s="19">
        <f t="shared" si="3"/>
        <v>1469</v>
      </c>
      <c r="D26" s="33">
        <f>D25+2</f>
        <v>20</v>
      </c>
      <c r="E26" s="18">
        <v>200</v>
      </c>
      <c r="F26" s="36">
        <v>400</v>
      </c>
      <c r="G26" s="36">
        <v>600</v>
      </c>
      <c r="H26" s="19">
        <v>800</v>
      </c>
      <c r="J26">
        <v>115</v>
      </c>
      <c r="K26">
        <f>INDEX(D:D,MATCH(J26,B:B,1))</f>
        <v>1.9999999999999998</v>
      </c>
      <c r="O26" t="str">
        <f>CHAR(9) &amp; CHAR(9) &amp; CHAR(9) &amp; IF(ROW(O25)=ROW(O$4),"","else_") &amp; "if = {
" &amp; CHAR(9) &amp; CHAR(9) &amp; CHAR(9) &amp; CHAR(9) &amp; "limit = { NOT = { " &amp; IF($B27&lt;&gt;"", "AND = { num_pops &gt; " &amp; IF($B26=0,0,$B26-1) &amp; " num_pops &lt; " &amp; $B27 &amp; " ", "") &amp; "has_modifier = buy_influence_drain_" &amp; IF(E26&lt;100,"00",IF(E26&lt;1000,"0","")) &amp; E26 &amp; " "&amp; IF($B27&lt;&gt;"","}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IF(E26&lt;100,"00",IF(E26&lt;1000,"0","")) &amp; E26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1169 num_pops &lt; 1470 has_modifier = buy_influence_drain_0200 } } }
				if = {
					limit = { has_country_flag = buy_influence_auto_renew }
					country_event = { id = buy_influence.300 }
					add_modifier = { modifier = "buy_influence_drain_0200" days = -1 } }
				}
				else = {
					country_event = { id = buy_influence.100 }
				}
			}
</v>
      </c>
      <c r="P26" t="str">
        <f>CHAR(9) &amp; CHAR(9) &amp; CHAR(9) &amp; IF(ROW(P25)=ROW(P$4),"","else_") &amp; "if = {
" &amp; CHAR(9) &amp; CHAR(9) &amp; CHAR(9) &amp; CHAR(9) &amp; "limit = { NOT = { " &amp; IF($B27&lt;&gt;"", "AND = { num_pops &gt; " &amp; IF($B26=0,0,$B26-1) &amp; " num_pops &lt; " &amp; $B27 &amp; " ", "") &amp; "has_modifier = buy_influence_drain_" &amp; IF(F26&lt;100,"00",IF(F26&lt;1000,"0","")) &amp; F26 &amp; " "&amp; IF($B27&lt;&gt;"","}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IF(F26&lt;100,"00",IF(F26&lt;1000,"0","")) &amp; F26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1169 num_pops &lt; 1470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Q26" t="str">
        <f>CHAR(9) &amp; CHAR(9) &amp; CHAR(9) &amp; IF(ROW(Q25)=ROW(Q$4),"","else_") &amp; "if = {
" &amp; CHAR(9) &amp; CHAR(9) &amp; CHAR(9) &amp; CHAR(9) &amp; "limit = { NOT = { " &amp; IF($B27&lt;&gt;"", "AND = { num_pops &gt; " &amp; IF($B26=0,0,$B26-1) &amp; " num_pops &lt; " &amp; $B27 &amp; " ", "") &amp; "has_modifier = buy_influence_drain_" &amp; IF(G26&lt;100,"00",IF(G26&lt;1000,"0","")) &amp; G26 &amp; " "&amp; IF($B27&lt;&gt;"","}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IF(G26&lt;100,"00",IF(G26&lt;1000,"0","")) &amp; G26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1169 num_pops &lt; 1470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</v>
      </c>
      <c r="R26" t="str">
        <f>CHAR(9) &amp; CHAR(9) &amp; CHAR(9) &amp; IF(ROW(R25)=ROW(R$4),"","else_") &amp; "if = {
" &amp; CHAR(9) &amp; CHAR(9) &amp; CHAR(9) &amp; CHAR(9) &amp; "limit = { NOT = { " &amp; IF($B27&lt;&gt;"", "AND = { num_pops &gt; " &amp; IF($B26=0,0,$B26-1) &amp; " num_pops &lt; " &amp; $B27 &amp; " ", "") &amp; "has_modifier = buy_influence_drain_" &amp; IF(H26&lt;100,"00",IF(H26&lt;1000,"0","")) &amp; H26 &amp; " "&amp; IF($B27&lt;&gt;"","}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IF(H26&lt;100,"00",IF(H26&lt;1000,"0","")) &amp; H26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1169 num_pops &lt; 1470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</v>
      </c>
      <c r="V26" t="str">
        <f>CHAR(9) &amp; CHAR(9) &amp; IF($B27="","else",IF(ROW(V25)=ROW(V$4),"if","else_if")) &amp; " = {
" &amp; IF($B27="","",CHAR(9) &amp; CHAR(9) &amp; CHAR(9) &amp; "limit = { num_pops &lt; " &amp; $B27 &amp; " }
") &amp; CHAR(9) &amp; CHAR(9) &amp; CHAR(9) &amp; "add_modifier = { modifier = ""buy_influence_drain_" &amp; IF(E26&lt;100,"00",IF(E26&lt;1000,"0","")) &amp; E26 &amp; """ days = -1 }
" &amp; CHAR(9) &amp; CHAR(9) &amp; "}
"</f>
        <v xml:space="preserve">		else_if = {
			limit = { num_pops &lt; 1470 }
			add_modifier = { modifier = "buy_influence_drain_0200" days = -1 }
		}
</v>
      </c>
      <c r="W26" t="str">
        <f>CHAR(9) &amp; CHAR(9) &amp; IF($B27="","else",IF(ROW(W25)=ROW(W$4),"if","else_if")) &amp; " = {
" &amp; IF($B27="","",CHAR(9) &amp; CHAR(9) &amp; CHAR(9) &amp; "limit = { num_pops &lt; " &amp; $B27 &amp; " }
") &amp; CHAR(9) &amp; CHAR(9) &amp; CHAR(9) &amp; "add_modifier = { modifier = ""buy_influence_drain_" &amp; IF(F26&lt;100,"00",IF(F26&lt;1000,"0","")) &amp; F26 &amp; """ days = -1 }
" &amp; CHAR(9) &amp; CHAR(9) &amp; "}
"</f>
        <v xml:space="preserve">		else_if = {
			limit = { num_pops &lt; 1470 }
			add_modifier = { modifier = "buy_influence_drain_0400" days = -1 }
		}
</v>
      </c>
      <c r="X26" t="str">
        <f>CHAR(9) &amp; CHAR(9) &amp; IF($B27="","else",IF(ROW(X25)=ROW(X$4),"if","else_if")) &amp; " = {
" &amp; IF($B27="","",CHAR(9) &amp; CHAR(9) &amp; CHAR(9) &amp; "limit = { num_pops &lt; " &amp; $B27 &amp; " }
") &amp; CHAR(9) &amp; CHAR(9) &amp; CHAR(9) &amp; "add_modifier = { modifier = ""buy_influence_drain_" &amp; IF(G26&lt;100,"00",IF(G26&lt;1000,"0","")) &amp; G26 &amp; """ days = -1 }
" &amp; CHAR(9) &amp; CHAR(9) &amp; "}
"</f>
        <v xml:space="preserve">		else_if = {
			limit = { num_pops &lt; 1470 }
			add_modifier = { modifier = "buy_influence_drain_0600" days = -1 }
		}
</v>
      </c>
      <c r="Y26" t="str">
        <f>CHAR(9) &amp; CHAR(9) &amp; IF($B27="","else",IF(ROW(Y25)=ROW(Y$4),"if","else_if")) &amp; " = {
" &amp; IF($B27="","",CHAR(9) &amp; CHAR(9) &amp; CHAR(9) &amp; "limit = { num_pops &lt; " &amp; $B27 &amp; " }
") &amp; CHAR(9) &amp; CHAR(9) &amp; CHAR(9) &amp; "add_modifier = { modifier = ""buy_influence_drain_" &amp; IF(H26&lt;100,"00",IF(H26&lt;1000,"0","")) &amp; H26 &amp; """ days = -1 }
" &amp; CHAR(9) &amp; CHAR(9) &amp; "}
"</f>
        <v xml:space="preserve">		else_if = {
			limit = { num_pops &lt; 1470 }
			add_modifier = { modifier = "buy_influence_drain_0800" days = -1 }
		}
</v>
      </c>
    </row>
    <row r="27" spans="2:25" x14ac:dyDescent="0.45">
      <c r="B27" s="24">
        <f t="shared" ref="B27:B32" si="5">B26+300</f>
        <v>1470</v>
      </c>
      <c r="C27" s="19">
        <f t="shared" si="3"/>
        <v>1769</v>
      </c>
      <c r="D27" s="34">
        <f t="shared" ref="D27:D32" si="6">D26+5</f>
        <v>25</v>
      </c>
      <c r="E27" s="18">
        <v>250</v>
      </c>
      <c r="F27" s="36">
        <v>500</v>
      </c>
      <c r="G27" s="36">
        <v>750</v>
      </c>
      <c r="H27" s="19">
        <v>1000</v>
      </c>
      <c r="J27">
        <v>120</v>
      </c>
      <c r="K27">
        <f>INDEX(D:D,MATCH(J27,B:B,1))</f>
        <v>2.5</v>
      </c>
      <c r="O27" t="str">
        <f>CHAR(9) &amp; CHAR(9) &amp; CHAR(9) &amp; IF(ROW(O26)=ROW(O$4),"","else_") &amp; "if = {
" &amp; CHAR(9) &amp; CHAR(9) &amp; CHAR(9) &amp; CHAR(9) &amp; "limit = { NOT = { " &amp; IF($B28&lt;&gt;"", "AND = { num_pops &gt; " &amp; IF($B27=0,0,$B27-1) &amp; " num_pops &lt; " &amp; $B28 &amp; " ", "") &amp; "has_modifier = buy_influence_drain_" &amp; IF(E27&lt;100,"00",IF(E27&lt;1000,"0","")) &amp; E27 &amp; " "&amp; IF($B28&lt;&gt;"","}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IF(E27&lt;100,"00",IF(E27&lt;1000,"0","")) &amp; E27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1469 num_pops &lt; 1770 has_modifier = buy_influence_drain_0250 } } }
				if = {
					limit = { has_country_flag = buy_influence_auto_renew }
					country_event = { id = buy_influence.300 }
					add_modifier = { modifier = "buy_influence_drain_0250" days = -1 } }
				}
				else = {
					country_event = { id = buy_influence.100 }
				}
			}
</v>
      </c>
      <c r="P27" t="str">
        <f>CHAR(9) &amp; CHAR(9) &amp; CHAR(9) &amp; IF(ROW(P26)=ROW(P$4),"","else_") &amp; "if = {
" &amp; CHAR(9) &amp; CHAR(9) &amp; CHAR(9) &amp; CHAR(9) &amp; "limit = { NOT = { " &amp; IF($B28&lt;&gt;"", "AND = { num_pops &gt; " &amp; IF($B27=0,0,$B27-1) &amp; " num_pops &lt; " &amp; $B28 &amp; " ", "") &amp; "has_modifier = buy_influence_drain_" &amp; IF(F27&lt;100,"00",IF(F27&lt;1000,"0","")) &amp; F27 &amp; " "&amp; IF($B28&lt;&gt;"","}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IF(F27&lt;100,"00",IF(F27&lt;1000,"0","")) &amp; F27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1469 num_pops &lt; 1770 has_modifier = buy_influence_drain_0500 } } }
				if = {
					limit = { has_country_flag = buy_influence_auto_renew }
					country_event = { id = buy_influence.300 }
					add_modifier = { modifier = "buy_influence_drain_0500" days = -1 } }
				}
				else = {
					country_event = { id = buy_influence.100 }
				}
			}
</v>
      </c>
      <c r="Q27" t="str">
        <f>CHAR(9) &amp; CHAR(9) &amp; CHAR(9) &amp; IF(ROW(Q26)=ROW(Q$4),"","else_") &amp; "if = {
" &amp; CHAR(9) &amp; CHAR(9) &amp; CHAR(9) &amp; CHAR(9) &amp; "limit = { NOT = { " &amp; IF($B28&lt;&gt;"", "AND = { num_pops &gt; " &amp; IF($B27=0,0,$B27-1) &amp; " num_pops &lt; " &amp; $B28 &amp; " ", "") &amp; "has_modifier = buy_influence_drain_" &amp; IF(G27&lt;100,"00",IF(G27&lt;1000,"0","")) &amp; G27 &amp; " "&amp; IF($B28&lt;&gt;"","}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IF(G27&lt;100,"00",IF(G27&lt;1000,"0","")) &amp; G27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1469 num_pops &lt; 1770 has_modifier = buy_influence_drain_0750 } } }
				if = {
					limit = { has_country_flag = buy_influence_auto_renew }
					country_event = { id = buy_influence.300 }
					add_modifier = { modifier = "buy_influence_drain_0750" days = -1 } }
				}
				else = {
					country_event = { id = buy_influence.100 }
				}
			}
</v>
      </c>
      <c r="R27" t="str">
        <f>CHAR(9) &amp; CHAR(9) &amp; CHAR(9) &amp; IF(ROW(R26)=ROW(R$4),"","else_") &amp; "if = {
" &amp; CHAR(9) &amp; CHAR(9) &amp; CHAR(9) &amp; CHAR(9) &amp; "limit = { NOT = { " &amp; IF($B28&lt;&gt;"", "AND = { num_pops &gt; " &amp; IF($B27=0,0,$B27-1) &amp; " num_pops &lt; " &amp; $B28 &amp; " ", "") &amp; "has_modifier = buy_influence_drain_" &amp; IF(H27&lt;100,"00",IF(H27&lt;1000,"0","")) &amp; H27 &amp; " "&amp; IF($B28&lt;&gt;"","}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IF(H27&lt;100,"00",IF(H27&lt;1000,"0","")) &amp; H27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1469 num_pops &lt; 1770 has_modifier = buy_influence_drain_1000 } } }
				if = {
					limit = { has_country_flag = buy_influence_auto_renew }
					country_event = { id = buy_influence.300 }
					add_modifier = { modifier = "buy_influence_drain_1000" days = -1 } }
				}
				else = {
					country_event = { id = buy_influence.100 }
				}
			}
</v>
      </c>
      <c r="V27" t="str">
        <f>CHAR(9) &amp; CHAR(9) &amp; IF($B28="","else",IF(ROW(V26)=ROW(V$4),"if","else_if")) &amp; " = {
" &amp; IF($B28="","",CHAR(9) &amp; CHAR(9) &amp; CHAR(9) &amp; "limit = { num_pops &lt; " &amp; $B28 &amp; " }
") &amp; CHAR(9) &amp; CHAR(9) &amp; CHAR(9) &amp; "add_modifier = { modifier = ""buy_influence_drain_" &amp; IF(E27&lt;100,"00",IF(E27&lt;1000,"0","")) &amp; E27 &amp; """ days = -1 }
" &amp; CHAR(9) &amp; CHAR(9) &amp; "}
"</f>
        <v xml:space="preserve">		else_if = {
			limit = { num_pops &lt; 1770 }
			add_modifier = { modifier = "buy_influence_drain_0250" days = -1 }
		}
</v>
      </c>
      <c r="W27" t="str">
        <f>CHAR(9) &amp; CHAR(9) &amp; IF($B28="","else",IF(ROW(W26)=ROW(W$4),"if","else_if")) &amp; " = {
" &amp; IF($B28="","",CHAR(9) &amp; CHAR(9) &amp; CHAR(9) &amp; "limit = { num_pops &lt; " &amp; $B28 &amp; " }
") &amp; CHAR(9) &amp; CHAR(9) &amp; CHAR(9) &amp; "add_modifier = { modifier = ""buy_influence_drain_" &amp; IF(F27&lt;100,"00",IF(F27&lt;1000,"0","")) &amp; F27 &amp; """ days = -1 }
" &amp; CHAR(9) &amp; CHAR(9) &amp; "}
"</f>
        <v xml:space="preserve">		else_if = {
			limit = { num_pops &lt; 1770 }
			add_modifier = { modifier = "buy_influence_drain_0500" days = -1 }
		}
</v>
      </c>
      <c r="X27" t="str">
        <f>CHAR(9) &amp; CHAR(9) &amp; IF($B28="","else",IF(ROW(X26)=ROW(X$4),"if","else_if")) &amp; " = {
" &amp; IF($B28="","",CHAR(9) &amp; CHAR(9) &amp; CHAR(9) &amp; "limit = { num_pops &lt; " &amp; $B28 &amp; " }
") &amp; CHAR(9) &amp; CHAR(9) &amp; CHAR(9) &amp; "add_modifier = { modifier = ""buy_influence_drain_" &amp; IF(G27&lt;100,"00",IF(G27&lt;1000,"0","")) &amp; G27 &amp; """ days = -1 }
" &amp; CHAR(9) &amp; CHAR(9) &amp; "}
"</f>
        <v xml:space="preserve">		else_if = {
			limit = { num_pops &lt; 1770 }
			add_modifier = { modifier = "buy_influence_drain_0750" days = -1 }
		}
</v>
      </c>
      <c r="Y27" t="str">
        <f>CHAR(9) &amp; CHAR(9) &amp; IF($B28="","else",IF(ROW(Y26)=ROW(Y$4),"if","else_if")) &amp; " = {
" &amp; IF($B28="","",CHAR(9) &amp; CHAR(9) &amp; CHAR(9) &amp; "limit = { num_pops &lt; " &amp; $B28 &amp; " }
") &amp; CHAR(9) &amp; CHAR(9) &amp; CHAR(9) &amp; "add_modifier = { modifier = ""buy_influence_drain_" &amp; IF(H27&lt;100,"00",IF(H27&lt;1000,"0","")) &amp; H27 &amp; """ days = -1 }
" &amp; CHAR(9) &amp; CHAR(9) &amp; "}
"</f>
        <v xml:space="preserve">		else_if = {
			limit = { num_pops &lt; 1770 }
			add_modifier = { modifier = "buy_influence_drain_1000" days = -1 }
		}
</v>
      </c>
    </row>
    <row r="28" spans="2:25" x14ac:dyDescent="0.45">
      <c r="B28" s="24">
        <f t="shared" si="5"/>
        <v>1770</v>
      </c>
      <c r="C28" s="19">
        <f t="shared" si="3"/>
        <v>2069</v>
      </c>
      <c r="D28" s="34">
        <f t="shared" si="6"/>
        <v>30</v>
      </c>
      <c r="E28" s="18">
        <v>300</v>
      </c>
      <c r="F28" s="36">
        <v>600</v>
      </c>
      <c r="G28" s="36">
        <v>900</v>
      </c>
      <c r="H28" s="19">
        <v>1200</v>
      </c>
      <c r="J28">
        <v>125</v>
      </c>
      <c r="K28">
        <f>INDEX(D:D,MATCH(J28,B:B,1))</f>
        <v>2.5</v>
      </c>
      <c r="O28" t="str">
        <f>CHAR(9) &amp; CHAR(9) &amp; CHAR(9) &amp; IF(ROW(O27)=ROW(O$4),"","else_") &amp; "if = {
" &amp; CHAR(9) &amp; CHAR(9) &amp; CHAR(9) &amp; CHAR(9) &amp; "limit = { NOT = { " &amp; IF($B29&lt;&gt;"", "AND = { num_pops &gt; " &amp; IF($B28=0,0,$B28-1) &amp; " num_pops &lt; " &amp; $B29 &amp; " ", "") &amp; "has_modifier = buy_influence_drain_" &amp; IF(E28&lt;100,"00",IF(E28&lt;1000,"0","")) &amp; E28 &amp; " "&amp; IF($B29&lt;&gt;"","}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IF(E28&lt;100,"00",IF(E28&lt;1000,"0","")) &amp; E28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1769 num_pops &lt; 2070 has_modifier = buy_influence_drain_0300 } } }
				if = {
					limit = { has_country_flag = buy_influence_auto_renew }
					country_event = { id = buy_influence.300 }
					add_modifier = { modifier = "buy_influence_drain_0300" days = -1 } }
				}
				else = {
					country_event = { id = buy_influence.100 }
				}
			}
</v>
      </c>
      <c r="P28" t="str">
        <f>CHAR(9) &amp; CHAR(9) &amp; CHAR(9) &amp; IF(ROW(P27)=ROW(P$4),"","else_") &amp; "if = {
" &amp; CHAR(9) &amp; CHAR(9) &amp; CHAR(9) &amp; CHAR(9) &amp; "limit = { NOT = { " &amp; IF($B29&lt;&gt;"", "AND = { num_pops &gt; " &amp; IF($B28=0,0,$B28-1) &amp; " num_pops &lt; " &amp; $B29 &amp; " ", "") &amp; "has_modifier = buy_influence_drain_" &amp; IF(F28&lt;100,"00",IF(F28&lt;1000,"0","")) &amp; F28 &amp; " "&amp; IF($B29&lt;&gt;"","}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IF(F28&lt;100,"00",IF(F28&lt;1000,"0","")) &amp; F28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1769 num_pops &lt; 2070 has_modifier = buy_influence_drain_0600 } } }
				if = {
					limit = { has_country_flag = buy_influence_auto_renew }
					country_event = { id = buy_influence.300 }
					add_modifier = { modifier = "buy_influence_drain_0600" days = -1 } }
				}
				else = {
					country_event = { id = buy_influence.100 }
				}
			}
</v>
      </c>
      <c r="Q28" t="str">
        <f>CHAR(9) &amp; CHAR(9) &amp; CHAR(9) &amp; IF(ROW(Q27)=ROW(Q$4),"","else_") &amp; "if = {
" &amp; CHAR(9) &amp; CHAR(9) &amp; CHAR(9) &amp; CHAR(9) &amp; "limit = { NOT = { " &amp; IF($B29&lt;&gt;"", "AND = { num_pops &gt; " &amp; IF($B28=0,0,$B28-1) &amp; " num_pops &lt; " &amp; $B29 &amp; " ", "") &amp; "has_modifier = buy_influence_drain_" &amp; IF(G28&lt;100,"00",IF(G28&lt;1000,"0","")) &amp; G28 &amp; " "&amp; IF($B29&lt;&gt;"","}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IF(G28&lt;100,"00",IF(G28&lt;1000,"0","")) &amp; G28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1769 num_pops &lt; 2070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</v>
      </c>
      <c r="R28" t="str">
        <f>CHAR(9) &amp; CHAR(9) &amp; CHAR(9) &amp; IF(ROW(R27)=ROW(R$4),"","else_") &amp; "if = {
" &amp; CHAR(9) &amp; CHAR(9) &amp; CHAR(9) &amp; CHAR(9) &amp; "limit = { NOT = { " &amp; IF($B29&lt;&gt;"", "AND = { num_pops &gt; " &amp; IF($B28=0,0,$B28-1) &amp; " num_pops &lt; " &amp; $B29 &amp; " ", "") &amp; "has_modifier = buy_influence_drain_" &amp; IF(H28&lt;100,"00",IF(H28&lt;1000,"0","")) &amp; H28 &amp; " "&amp; IF($B29&lt;&gt;"","}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IF(H28&lt;100,"00",IF(H28&lt;1000,"0","")) &amp; H28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1769 num_pops &lt; 2070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</v>
      </c>
      <c r="V28" t="str">
        <f>CHAR(9) &amp; CHAR(9) &amp; IF($B29="","else",IF(ROW(V27)=ROW(V$4),"if","else_if")) &amp; " = {
" &amp; IF($B29="","",CHAR(9) &amp; CHAR(9) &amp; CHAR(9) &amp; "limit = { num_pops &lt; " &amp; $B29 &amp; " }
") &amp; CHAR(9) &amp; CHAR(9) &amp; CHAR(9) &amp; "add_modifier = { modifier = ""buy_influence_drain_" &amp; IF(E28&lt;100,"00",IF(E28&lt;1000,"0","")) &amp; E28 &amp; """ days = -1 }
" &amp; CHAR(9) &amp; CHAR(9) &amp; "}
"</f>
        <v xml:space="preserve">		else_if = {
			limit = { num_pops &lt; 2070 }
			add_modifier = { modifier = "buy_influence_drain_0300" days = -1 }
		}
</v>
      </c>
      <c r="W28" t="str">
        <f>CHAR(9) &amp; CHAR(9) &amp; IF($B29="","else",IF(ROW(W27)=ROW(W$4),"if","else_if")) &amp; " = {
" &amp; IF($B29="","",CHAR(9) &amp; CHAR(9) &amp; CHAR(9) &amp; "limit = { num_pops &lt; " &amp; $B29 &amp; " }
") &amp; CHAR(9) &amp; CHAR(9) &amp; CHAR(9) &amp; "add_modifier = { modifier = ""buy_influence_drain_" &amp; IF(F28&lt;100,"00",IF(F28&lt;1000,"0","")) &amp; F28 &amp; """ days = -1 }
" &amp; CHAR(9) &amp; CHAR(9) &amp; "}
"</f>
        <v xml:space="preserve">		else_if = {
			limit = { num_pops &lt; 2070 }
			add_modifier = { modifier = "buy_influence_drain_0600" days = -1 }
		}
</v>
      </c>
      <c r="X28" t="str">
        <f>CHAR(9) &amp; CHAR(9) &amp; IF($B29="","else",IF(ROW(X27)=ROW(X$4),"if","else_if")) &amp; " = {
" &amp; IF($B29="","",CHAR(9) &amp; CHAR(9) &amp; CHAR(9) &amp; "limit = { num_pops &lt; " &amp; $B29 &amp; " }
") &amp; CHAR(9) &amp; CHAR(9) &amp; CHAR(9) &amp; "add_modifier = { modifier = ""buy_influence_drain_" &amp; IF(G28&lt;100,"00",IF(G28&lt;1000,"0","")) &amp; G28 &amp; """ days = -1 }
" &amp; CHAR(9) &amp; CHAR(9) &amp; "}
"</f>
        <v xml:space="preserve">		else_if = {
			limit = { num_pops &lt; 2070 }
			add_modifier = { modifier = "buy_influence_drain_0900" days = -1 }
		}
</v>
      </c>
      <c r="Y28" t="str">
        <f>CHAR(9) &amp; CHAR(9) &amp; IF($B29="","else",IF(ROW(Y27)=ROW(Y$4),"if","else_if")) &amp; " = {
" &amp; IF($B29="","",CHAR(9) &amp; CHAR(9) &amp; CHAR(9) &amp; "limit = { num_pops &lt; " &amp; $B29 &amp; " }
") &amp; CHAR(9) &amp; CHAR(9) &amp; CHAR(9) &amp; "add_modifier = { modifier = ""buy_influence_drain_" &amp; IF(H28&lt;100,"00",IF(H28&lt;1000,"0","")) &amp; H28 &amp; """ days = -1 }
" &amp; CHAR(9) &amp; CHAR(9) &amp; "}
"</f>
        <v xml:space="preserve">		else_if = {
			limit = { num_pops &lt; 2070 }
			add_modifier = { modifier = "buy_influence_drain_1200" days = -1 }
		}
</v>
      </c>
    </row>
    <row r="29" spans="2:25" x14ac:dyDescent="0.45">
      <c r="B29" s="24">
        <f t="shared" si="5"/>
        <v>2070</v>
      </c>
      <c r="C29" s="19">
        <f t="shared" si="3"/>
        <v>2369</v>
      </c>
      <c r="D29" s="34">
        <f t="shared" si="6"/>
        <v>35</v>
      </c>
      <c r="E29" s="18">
        <v>350</v>
      </c>
      <c r="F29" s="36">
        <v>700</v>
      </c>
      <c r="G29" s="36">
        <v>1050</v>
      </c>
      <c r="H29" s="19">
        <v>1400</v>
      </c>
      <c r="J29">
        <v>130</v>
      </c>
      <c r="K29">
        <f>INDEX(D:D,MATCH(J29,B:B,1))</f>
        <v>2.5</v>
      </c>
      <c r="O29" t="str">
        <f>CHAR(9) &amp; CHAR(9) &amp; CHAR(9) &amp; IF(ROW(O28)=ROW(O$4),"","else_") &amp; "if = {
" &amp; CHAR(9) &amp; CHAR(9) &amp; CHAR(9) &amp; CHAR(9) &amp; "limit = { NOT = { " &amp; IF($B30&lt;&gt;"", "AND = { num_pops &gt; " &amp; IF($B29=0,0,$B29-1) &amp; " num_pops &lt; " &amp; $B30 &amp; " ", "") &amp; "has_modifier = buy_influence_drain_" &amp; IF(E29&lt;100,"00",IF(E29&lt;1000,"0","")) &amp; E29 &amp; " "&amp; IF($B30&lt;&gt;"","}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IF(E29&lt;100,"00",IF(E29&lt;1000,"0","")) &amp; E29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2069 num_pops &lt; 2370 has_modifier = buy_influence_drain_0350 } } }
				if = {
					limit = { has_country_flag = buy_influence_auto_renew }
					country_event = { id = buy_influence.300 }
					add_modifier = { modifier = "buy_influence_drain_0350" days = -1 } }
				}
				else = {
					country_event = { id = buy_influence.100 }
				}
			}
</v>
      </c>
      <c r="P29" t="str">
        <f>CHAR(9) &amp; CHAR(9) &amp; CHAR(9) &amp; IF(ROW(P28)=ROW(P$4),"","else_") &amp; "if = {
" &amp; CHAR(9) &amp; CHAR(9) &amp; CHAR(9) &amp; CHAR(9) &amp; "limit = { NOT = { " &amp; IF($B30&lt;&gt;"", "AND = { num_pops &gt; " &amp; IF($B29=0,0,$B29-1) &amp; " num_pops &lt; " &amp; $B30 &amp; " ", "") &amp; "has_modifier = buy_influence_drain_" &amp; IF(F29&lt;100,"00",IF(F29&lt;1000,"0","")) &amp; F29 &amp; " "&amp; IF($B30&lt;&gt;"","}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IF(F29&lt;100,"00",IF(F29&lt;1000,"0","")) &amp; F29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2069 num_pops &lt; 2370 has_modifier = buy_influence_drain_0700 } } }
				if = {
					limit = { has_country_flag = buy_influence_auto_renew }
					country_event = { id = buy_influence.300 }
					add_modifier = { modifier = "buy_influence_drain_0700" days = -1 } }
				}
				else = {
					country_event = { id = buy_influence.100 }
				}
			}
</v>
      </c>
      <c r="Q29" t="str">
        <f>CHAR(9) &amp; CHAR(9) &amp; CHAR(9) &amp; IF(ROW(Q28)=ROW(Q$4),"","else_") &amp; "if = {
" &amp; CHAR(9) &amp; CHAR(9) &amp; CHAR(9) &amp; CHAR(9) &amp; "limit = { NOT = { " &amp; IF($B30&lt;&gt;"", "AND = { num_pops &gt; " &amp; IF($B29=0,0,$B29-1) &amp; " num_pops &lt; " &amp; $B30 &amp; " ", "") &amp; "has_modifier = buy_influence_drain_" &amp; IF(G29&lt;100,"00",IF(G29&lt;1000,"0","")) &amp; G29 &amp; " "&amp; IF($B30&lt;&gt;"","}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IF(G29&lt;100,"00",IF(G29&lt;1000,"0","")) &amp; G29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2069 num_pops &lt; 2370 has_modifier = buy_influence_drain_1050 } } }
				if = {
					limit = { has_country_flag = buy_influence_auto_renew }
					country_event = { id = buy_influence.300 }
					add_modifier = { modifier = "buy_influence_drain_1050" days = -1 } }
				}
				else = {
					country_event = { id = buy_influence.100 }
				}
			}
</v>
      </c>
      <c r="R29" t="str">
        <f>CHAR(9) &amp; CHAR(9) &amp; CHAR(9) &amp; IF(ROW(R28)=ROW(R$4),"","else_") &amp; "if = {
" &amp; CHAR(9) &amp; CHAR(9) &amp; CHAR(9) &amp; CHAR(9) &amp; "limit = { NOT = { " &amp; IF($B30&lt;&gt;"", "AND = { num_pops &gt; " &amp; IF($B29=0,0,$B29-1) &amp; " num_pops &lt; " &amp; $B30 &amp; " ", "") &amp; "has_modifier = buy_influence_drain_" &amp; IF(H29&lt;100,"00",IF(H29&lt;1000,"0","")) &amp; H29 &amp; " "&amp; IF($B30&lt;&gt;"","}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IF(H29&lt;100,"00",IF(H29&lt;1000,"0","")) &amp; H29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2069 num_pops &lt; 2370 has_modifier = buy_influence_drain_1400 } } }
				if = {
					limit = { has_country_flag = buy_influence_auto_renew }
					country_event = { id = buy_influence.300 }
					add_modifier = { modifier = "buy_influence_drain_1400" days = -1 } }
				}
				else = {
					country_event = { id = buy_influence.100 }
				}
			}
</v>
      </c>
      <c r="V29" t="str">
        <f>CHAR(9) &amp; CHAR(9) &amp; IF($B30="","else",IF(ROW(V28)=ROW(V$4),"if","else_if")) &amp; " = {
" &amp; IF($B30="","",CHAR(9) &amp; CHAR(9) &amp; CHAR(9) &amp; "limit = { num_pops &lt; " &amp; $B30 &amp; " }
") &amp; CHAR(9) &amp; CHAR(9) &amp; CHAR(9) &amp; "add_modifier = { modifier = ""buy_influence_drain_" &amp; IF(E29&lt;100,"00",IF(E29&lt;1000,"0","")) &amp; E29 &amp; """ days = -1 }
" &amp; CHAR(9) &amp; CHAR(9) &amp; "}
"</f>
        <v xml:space="preserve">		else_if = {
			limit = { num_pops &lt; 2370 }
			add_modifier = { modifier = "buy_influence_drain_0350" days = -1 }
		}
</v>
      </c>
      <c r="W29" t="str">
        <f>CHAR(9) &amp; CHAR(9) &amp; IF($B30="","else",IF(ROW(W28)=ROW(W$4),"if","else_if")) &amp; " = {
" &amp; IF($B30="","",CHAR(9) &amp; CHAR(9) &amp; CHAR(9) &amp; "limit = { num_pops &lt; " &amp; $B30 &amp; " }
") &amp; CHAR(9) &amp; CHAR(9) &amp; CHAR(9) &amp; "add_modifier = { modifier = ""buy_influence_drain_" &amp; IF(F29&lt;100,"00",IF(F29&lt;1000,"0","")) &amp; F29 &amp; """ days = -1 }
" &amp; CHAR(9) &amp; CHAR(9) &amp; "}
"</f>
        <v xml:space="preserve">		else_if = {
			limit = { num_pops &lt; 2370 }
			add_modifier = { modifier = "buy_influence_drain_0700" days = -1 }
		}
</v>
      </c>
      <c r="X29" t="str">
        <f>CHAR(9) &amp; CHAR(9) &amp; IF($B30="","else",IF(ROW(X28)=ROW(X$4),"if","else_if")) &amp; " = {
" &amp; IF($B30="","",CHAR(9) &amp; CHAR(9) &amp; CHAR(9) &amp; "limit = { num_pops &lt; " &amp; $B30 &amp; " }
") &amp; CHAR(9) &amp; CHAR(9) &amp; CHAR(9) &amp; "add_modifier = { modifier = ""buy_influence_drain_" &amp; IF(G29&lt;100,"00",IF(G29&lt;1000,"0","")) &amp; G29 &amp; """ days = -1 }
" &amp; CHAR(9) &amp; CHAR(9) &amp; "}
"</f>
        <v xml:space="preserve">		else_if = {
			limit = { num_pops &lt; 2370 }
			add_modifier = { modifier = "buy_influence_drain_1050" days = -1 }
		}
</v>
      </c>
      <c r="Y29" t="str">
        <f>CHAR(9) &amp; CHAR(9) &amp; IF($B30="","else",IF(ROW(Y28)=ROW(Y$4),"if","else_if")) &amp; " = {
" &amp; IF($B30="","",CHAR(9) &amp; CHAR(9) &amp; CHAR(9) &amp; "limit = { num_pops &lt; " &amp; $B30 &amp; " }
") &amp; CHAR(9) &amp; CHAR(9) &amp; CHAR(9) &amp; "add_modifier = { modifier = ""buy_influence_drain_" &amp; IF(H29&lt;100,"00",IF(H29&lt;1000,"0","")) &amp; H29 &amp; """ days = -1 }
" &amp; CHAR(9) &amp; CHAR(9) &amp; "}
"</f>
        <v xml:space="preserve">		else_if = {
			limit = { num_pops &lt; 2370 }
			add_modifier = { modifier = "buy_influence_drain_1400" days = -1 }
		}
</v>
      </c>
    </row>
    <row r="30" spans="2:25" x14ac:dyDescent="0.45">
      <c r="B30" s="24">
        <f t="shared" si="5"/>
        <v>2370</v>
      </c>
      <c r="C30" s="19">
        <f t="shared" si="3"/>
        <v>2669</v>
      </c>
      <c r="D30" s="34">
        <f t="shared" si="6"/>
        <v>40</v>
      </c>
      <c r="E30" s="18">
        <v>400</v>
      </c>
      <c r="F30" s="36">
        <v>800</v>
      </c>
      <c r="G30" s="36">
        <v>1200</v>
      </c>
      <c r="H30" s="19">
        <v>1600</v>
      </c>
      <c r="J30">
        <v>135</v>
      </c>
      <c r="K30">
        <f>INDEX(D:D,MATCH(J30,B:B,1))</f>
        <v>2.5</v>
      </c>
      <c r="O30" t="str">
        <f>CHAR(9) &amp; CHAR(9) &amp; CHAR(9) &amp; IF(ROW(O29)=ROW(O$4),"","else_") &amp; "if = {
" &amp; CHAR(9) &amp; CHAR(9) &amp; CHAR(9) &amp; CHAR(9) &amp; "limit = { NOT = { " &amp; IF($B31&lt;&gt;"", "AND = { num_pops &gt; " &amp; IF($B30=0,0,$B30-1) &amp; " num_pops &lt; " &amp; $B31 &amp; " ", "") &amp; "has_modifier = buy_influence_drain_" &amp; IF(E30&lt;100,"00",IF(E30&lt;1000,"0","")) &amp; E30 &amp; " "&amp; IF($B31&lt;&gt;"","}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IF(E30&lt;100,"00",IF(E30&lt;1000,"0","")) &amp; E30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2369 num_pops &lt; 2670 has_modifier = buy_influence_drain_0400 } } }
				if = {
					limit = { has_country_flag = buy_influence_auto_renew }
					country_event = { id = buy_influence.300 }
					add_modifier = { modifier = "buy_influence_drain_0400" days = -1 } }
				}
				else = {
					country_event = { id = buy_influence.100 }
				}
			}
</v>
      </c>
      <c r="P30" t="str">
        <f>CHAR(9) &amp; CHAR(9) &amp; CHAR(9) &amp; IF(ROW(P29)=ROW(P$4),"","else_") &amp; "if = {
" &amp; CHAR(9) &amp; CHAR(9) &amp; CHAR(9) &amp; CHAR(9) &amp; "limit = { NOT = { " &amp; IF($B31&lt;&gt;"", "AND = { num_pops &gt; " &amp; IF($B30=0,0,$B30-1) &amp; " num_pops &lt; " &amp; $B31 &amp; " ", "") &amp; "has_modifier = buy_influence_drain_" &amp; IF(F30&lt;100,"00",IF(F30&lt;1000,"0","")) &amp; F30 &amp; " "&amp; IF($B31&lt;&gt;"","}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IF(F30&lt;100,"00",IF(F30&lt;1000,"0","")) &amp; F30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2369 num_pops &lt; 2670 has_modifier = buy_influence_drain_0800 } } }
				if = {
					limit = { has_country_flag = buy_influence_auto_renew }
					country_event = { id = buy_influence.300 }
					add_modifier = { modifier = "buy_influence_drain_0800" days = -1 } }
				}
				else = {
					country_event = { id = buy_influence.100 }
				}
			}
</v>
      </c>
      <c r="Q30" t="str">
        <f>CHAR(9) &amp; CHAR(9) &amp; CHAR(9) &amp; IF(ROW(Q29)=ROW(Q$4),"","else_") &amp; "if = {
" &amp; CHAR(9) &amp; CHAR(9) &amp; CHAR(9) &amp; CHAR(9) &amp; "limit = { NOT = { " &amp; IF($B31&lt;&gt;"", "AND = { num_pops &gt; " &amp; IF($B30=0,0,$B30-1) &amp; " num_pops &lt; " &amp; $B31 &amp; " ", "") &amp; "has_modifier = buy_influence_drain_" &amp; IF(G30&lt;100,"00",IF(G30&lt;1000,"0","")) &amp; G30 &amp; " "&amp; IF($B31&lt;&gt;"","}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IF(G30&lt;100,"00",IF(G30&lt;1000,"0","")) &amp; G30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2369 num_pops &lt; 2670 has_modifier = buy_influence_drain_1200 } } }
				if = {
					limit = { has_country_flag = buy_influence_auto_renew }
					country_event = { id = buy_influence.300 }
					add_modifier = { modifier = "buy_influence_drain_1200" days = -1 } }
				}
				else = {
					country_event = { id = buy_influence.100 }
				}
			}
</v>
      </c>
      <c r="R30" t="str">
        <f>CHAR(9) &amp; CHAR(9) &amp; CHAR(9) &amp; IF(ROW(R29)=ROW(R$4),"","else_") &amp; "if = {
" &amp; CHAR(9) &amp; CHAR(9) &amp; CHAR(9) &amp; CHAR(9) &amp; "limit = { NOT = { " &amp; IF($B31&lt;&gt;"", "AND = { num_pops &gt; " &amp; IF($B30=0,0,$B30-1) &amp; " num_pops &lt; " &amp; $B31 &amp; " ", "") &amp; "has_modifier = buy_influence_drain_" &amp; IF(H30&lt;100,"00",IF(H30&lt;1000,"0","")) &amp; H30 &amp; " "&amp; IF($B31&lt;&gt;"","}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IF(H30&lt;100,"00",IF(H30&lt;1000,"0","")) &amp; H30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2369 num_pops &lt; 2670 has_modifier = buy_influence_drain_1600 } } }
				if = {
					limit = { has_country_flag = buy_influence_auto_renew }
					country_event = { id = buy_influence.300 }
					add_modifier = { modifier = "buy_influence_drain_1600" days = -1 } }
				}
				else = {
					country_event = { id = buy_influence.100 }
				}
			}
</v>
      </c>
      <c r="V30" t="str">
        <f>CHAR(9) &amp; CHAR(9) &amp; IF($B31="","else",IF(ROW(V29)=ROW(V$4),"if","else_if")) &amp; " = {
" &amp; IF($B31="","",CHAR(9) &amp; CHAR(9) &amp; CHAR(9) &amp; "limit = { num_pops &lt; " &amp; $B31 &amp; " }
") &amp; CHAR(9) &amp; CHAR(9) &amp; CHAR(9) &amp; "add_modifier = { modifier = ""buy_influence_drain_" &amp; IF(E30&lt;100,"00",IF(E30&lt;1000,"0","")) &amp; E30 &amp; """ days = -1 }
" &amp; CHAR(9) &amp; CHAR(9) &amp; "}
"</f>
        <v xml:space="preserve">		else_if = {
			limit = { num_pops &lt; 2670 }
			add_modifier = { modifier = "buy_influence_drain_0400" days = -1 }
		}
</v>
      </c>
      <c r="W30" t="str">
        <f>CHAR(9) &amp; CHAR(9) &amp; IF($B31="","else",IF(ROW(W29)=ROW(W$4),"if","else_if")) &amp; " = {
" &amp; IF($B31="","",CHAR(9) &amp; CHAR(9) &amp; CHAR(9) &amp; "limit = { num_pops &lt; " &amp; $B31 &amp; " }
") &amp; CHAR(9) &amp; CHAR(9) &amp; CHAR(9) &amp; "add_modifier = { modifier = ""buy_influence_drain_" &amp; IF(F30&lt;100,"00",IF(F30&lt;1000,"0","")) &amp; F30 &amp; """ days = -1 }
" &amp; CHAR(9) &amp; CHAR(9) &amp; "}
"</f>
        <v xml:space="preserve">		else_if = {
			limit = { num_pops &lt; 2670 }
			add_modifier = { modifier = "buy_influence_drain_0800" days = -1 }
		}
</v>
      </c>
      <c r="X30" t="str">
        <f>CHAR(9) &amp; CHAR(9) &amp; IF($B31="","else",IF(ROW(X29)=ROW(X$4),"if","else_if")) &amp; " = {
" &amp; IF($B31="","",CHAR(9) &amp; CHAR(9) &amp; CHAR(9) &amp; "limit = { num_pops &lt; " &amp; $B31 &amp; " }
") &amp; CHAR(9) &amp; CHAR(9) &amp; CHAR(9) &amp; "add_modifier = { modifier = ""buy_influence_drain_" &amp; IF(G30&lt;100,"00",IF(G30&lt;1000,"0","")) &amp; G30 &amp; """ days = -1 }
" &amp; CHAR(9) &amp; CHAR(9) &amp; "}
"</f>
        <v xml:space="preserve">		else_if = {
			limit = { num_pops &lt; 2670 }
			add_modifier = { modifier = "buy_influence_drain_1200" days = -1 }
		}
</v>
      </c>
      <c r="Y30" t="str">
        <f>CHAR(9) &amp; CHAR(9) &amp; IF($B31="","else",IF(ROW(Y29)=ROW(Y$4),"if","else_if")) &amp; " = {
" &amp; IF($B31="","",CHAR(9) &amp; CHAR(9) &amp; CHAR(9) &amp; "limit = { num_pops &lt; " &amp; $B31 &amp; " }
") &amp; CHAR(9) &amp; CHAR(9) &amp; CHAR(9) &amp; "add_modifier = { modifier = ""buy_influence_drain_" &amp; IF(H30&lt;100,"00",IF(H30&lt;1000,"0","")) &amp; H30 &amp; """ days = -1 }
" &amp; CHAR(9) &amp; CHAR(9) &amp; "}
"</f>
        <v xml:space="preserve">		else_if = {
			limit = { num_pops &lt; 2670 }
			add_modifier = { modifier = "buy_influence_drain_1600" days = -1 }
		}
</v>
      </c>
    </row>
    <row r="31" spans="2:25" x14ac:dyDescent="0.45">
      <c r="B31" s="24">
        <f t="shared" si="5"/>
        <v>2670</v>
      </c>
      <c r="C31" s="19">
        <f t="shared" si="3"/>
        <v>2969</v>
      </c>
      <c r="D31" s="34">
        <f t="shared" si="6"/>
        <v>45</v>
      </c>
      <c r="E31" s="18">
        <v>450</v>
      </c>
      <c r="F31" s="36">
        <v>900</v>
      </c>
      <c r="G31" s="36">
        <v>1350</v>
      </c>
      <c r="H31" s="19">
        <v>1800</v>
      </c>
      <c r="J31">
        <v>140</v>
      </c>
      <c r="K31">
        <f>INDEX(D:D,MATCH(J31,B:B,1))</f>
        <v>2.5</v>
      </c>
      <c r="O31" t="str">
        <f>CHAR(9) &amp; CHAR(9) &amp; CHAR(9) &amp; IF(ROW(O30)=ROW(O$4),"","else_") &amp; "if = {
" &amp; CHAR(9) &amp; CHAR(9) &amp; CHAR(9) &amp; CHAR(9) &amp; "limit = { NOT = { " &amp; IF($B32&lt;&gt;"", "AND = { num_pops &gt; " &amp; IF($B31=0,0,$B31-1) &amp; " num_pops &lt; " &amp; $B32 &amp; " ", "") &amp; "has_modifier = buy_influence_drain_" &amp; IF(E31&lt;100,"00",IF(E31&lt;1000,"0","")) &amp; E31 &amp; " "&amp; IF($B32&lt;&gt;"","}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IF(E31&lt;100,"00",IF(E31&lt;1000,"0","")) &amp; E31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2669 num_pops &lt; 2970 has_modifier = buy_influence_drain_0450 } } }
				if = {
					limit = { has_country_flag = buy_influence_auto_renew }
					country_event = { id = buy_influence.300 }
					add_modifier = { modifier = "buy_influence_drain_0450" days = -1 } }
				}
				else = {
					country_event = { id = buy_influence.100 }
				}
			}
</v>
      </c>
      <c r="P31" t="str">
        <f>CHAR(9) &amp; CHAR(9) &amp; CHAR(9) &amp; IF(ROW(P30)=ROW(P$4),"","else_") &amp; "if = {
" &amp; CHAR(9) &amp; CHAR(9) &amp; CHAR(9) &amp; CHAR(9) &amp; "limit = { NOT = { " &amp; IF($B32&lt;&gt;"", "AND = { num_pops &gt; " &amp; IF($B31=0,0,$B31-1) &amp; " num_pops &lt; " &amp; $B32 &amp; " ", "") &amp; "has_modifier = buy_influence_drain_" &amp; IF(F31&lt;100,"00",IF(F31&lt;1000,"0","")) &amp; F31 &amp; " "&amp; IF($B32&lt;&gt;"","}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IF(F31&lt;100,"00",IF(F31&lt;1000,"0","")) &amp; F31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2669 num_pops &lt; 2970 has_modifier = buy_influence_drain_0900 } } }
				if = {
					limit = { has_country_flag = buy_influence_auto_renew }
					country_event = { id = buy_influence.300 }
					add_modifier = { modifier = "buy_influence_drain_0900" days = -1 } }
				}
				else = {
					country_event = { id = buy_influence.100 }
				}
			}
</v>
      </c>
      <c r="Q31" t="str">
        <f>CHAR(9) &amp; CHAR(9) &amp; CHAR(9) &amp; IF(ROW(Q30)=ROW(Q$4),"","else_") &amp; "if = {
" &amp; CHAR(9) &amp; CHAR(9) &amp; CHAR(9) &amp; CHAR(9) &amp; "limit = { NOT = { " &amp; IF($B32&lt;&gt;"", "AND = { num_pops &gt; " &amp; IF($B31=0,0,$B31-1) &amp; " num_pops &lt; " &amp; $B32 &amp; " ", "") &amp; "has_modifier = buy_influence_drain_" &amp; IF(G31&lt;100,"00",IF(G31&lt;1000,"0","")) &amp; G31 &amp; " "&amp; IF($B32&lt;&gt;"","}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IF(G31&lt;100,"00",IF(G31&lt;1000,"0","")) &amp; G31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2669 num_pops &lt; 2970 has_modifier = buy_influence_drain_1350 } } }
				if = {
					limit = { has_country_flag = buy_influence_auto_renew }
					country_event = { id = buy_influence.300 }
					add_modifier = { modifier = "buy_influence_drain_1350" days = -1 } }
				}
				else = {
					country_event = { id = buy_influence.100 }
				}
			}
</v>
      </c>
      <c r="R31" t="str">
        <f>CHAR(9) &amp; CHAR(9) &amp; CHAR(9) &amp; IF(ROW(R30)=ROW(R$4),"","else_") &amp; "if = {
" &amp; CHAR(9) &amp; CHAR(9) &amp; CHAR(9) &amp; CHAR(9) &amp; "limit = { NOT = { " &amp; IF($B32&lt;&gt;"", "AND = { num_pops &gt; " &amp; IF($B31=0,0,$B31-1) &amp; " num_pops &lt; " &amp; $B32 &amp; " ", "") &amp; "has_modifier = buy_influence_drain_" &amp; IF(H31&lt;100,"00",IF(H31&lt;1000,"0","")) &amp; H31 &amp; " "&amp; IF($B32&lt;&gt;"","}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IF(H31&lt;100,"00",IF(H31&lt;1000,"0","")) &amp; H31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AND = { num_pops &gt; 2669 num_pops &lt; 2970 has_modifier = buy_influence_drain_1800 } } }
				if = {
					limit = { has_country_flag = buy_influence_auto_renew }
					country_event = { id = buy_influence.300 }
					add_modifier = { modifier = "buy_influence_drain_1800" days = -1 } }
				}
				else = {
					country_event = { id = buy_influence.100 }
				}
			}
</v>
      </c>
      <c r="V31" t="str">
        <f>CHAR(9) &amp; CHAR(9) &amp; IF($B32="","else",IF(ROW(V30)=ROW(V$4),"if","else_if")) &amp; " = {
" &amp; IF($B32="","",CHAR(9) &amp; CHAR(9) &amp; CHAR(9) &amp; "limit = { num_pops &lt; " &amp; $B32 &amp; " }
") &amp; CHAR(9) &amp; CHAR(9) &amp; CHAR(9) &amp; "add_modifier = { modifier = ""buy_influence_drain_" &amp; IF(E31&lt;100,"00",IF(E31&lt;1000,"0","")) &amp; E31 &amp; """ days = -1 }
" &amp; CHAR(9) &amp; CHAR(9) &amp; "}
"</f>
        <v xml:space="preserve">		else_if = {
			limit = { num_pops &lt; 2970 }
			add_modifier = { modifier = "buy_influence_drain_0450" days = -1 }
		}
</v>
      </c>
      <c r="W31" t="str">
        <f>CHAR(9) &amp; CHAR(9) &amp; IF($B32="","else",IF(ROW(W30)=ROW(W$4),"if","else_if")) &amp; " = {
" &amp; IF($B32="","",CHAR(9) &amp; CHAR(9) &amp; CHAR(9) &amp; "limit = { num_pops &lt; " &amp; $B32 &amp; " }
") &amp; CHAR(9) &amp; CHAR(9) &amp; CHAR(9) &amp; "add_modifier = { modifier = ""buy_influence_drain_" &amp; IF(F31&lt;100,"00",IF(F31&lt;1000,"0","")) &amp; F31 &amp; """ days = -1 }
" &amp; CHAR(9) &amp; CHAR(9) &amp; "}
"</f>
        <v xml:space="preserve">		else_if = {
			limit = { num_pops &lt; 2970 }
			add_modifier = { modifier = "buy_influence_drain_0900" days = -1 }
		}
</v>
      </c>
      <c r="X31" t="str">
        <f>CHAR(9) &amp; CHAR(9) &amp; IF($B32="","else",IF(ROW(X30)=ROW(X$4),"if","else_if")) &amp; " = {
" &amp; IF($B32="","",CHAR(9) &amp; CHAR(9) &amp; CHAR(9) &amp; "limit = { num_pops &lt; " &amp; $B32 &amp; " }
") &amp; CHAR(9) &amp; CHAR(9) &amp; CHAR(9) &amp; "add_modifier = { modifier = ""buy_influence_drain_" &amp; IF(G31&lt;100,"00",IF(G31&lt;1000,"0","")) &amp; G31 &amp; """ days = -1 }
" &amp; CHAR(9) &amp; CHAR(9) &amp; "}
"</f>
        <v xml:space="preserve">		else_if = {
			limit = { num_pops &lt; 2970 }
			add_modifier = { modifier = "buy_influence_drain_1350" days = -1 }
		}
</v>
      </c>
      <c r="Y31" t="str">
        <f>CHAR(9) &amp; CHAR(9) &amp; IF($B32="","else",IF(ROW(Y30)=ROW(Y$4),"if","else_if")) &amp; " = {
" &amp; IF($B32="","",CHAR(9) &amp; CHAR(9) &amp; CHAR(9) &amp; "limit = { num_pops &lt; " &amp; $B32 &amp; " }
") &amp; CHAR(9) &amp; CHAR(9) &amp; CHAR(9) &amp; "add_modifier = { modifier = ""buy_influence_drain_" &amp; IF(H31&lt;100,"00",IF(H31&lt;1000,"0","")) &amp; H31 &amp; """ days = -1 }
" &amp; CHAR(9) &amp; CHAR(9) &amp; "}
"</f>
        <v xml:space="preserve">		else_if = {
			limit = { num_pops &lt; 2970 }
			add_modifier = { modifier = "buy_influence_drain_1800" days = -1 }
		}
</v>
      </c>
    </row>
    <row r="32" spans="2:25" ht="14.65" thickBot="1" x14ac:dyDescent="0.5">
      <c r="B32" s="25">
        <f t="shared" si="5"/>
        <v>2970</v>
      </c>
      <c r="C32" s="26">
        <v>10000000</v>
      </c>
      <c r="D32" s="35">
        <f t="shared" si="6"/>
        <v>50</v>
      </c>
      <c r="E32" s="37">
        <v>500</v>
      </c>
      <c r="F32" s="38">
        <v>1000</v>
      </c>
      <c r="G32" s="38">
        <v>1500</v>
      </c>
      <c r="H32" s="26">
        <v>2000</v>
      </c>
      <c r="J32">
        <v>145</v>
      </c>
      <c r="K32">
        <f>INDEX(D:D,MATCH(J32,B:B,1))</f>
        <v>2.5</v>
      </c>
      <c r="O32" t="str">
        <f>CHAR(9) &amp; CHAR(9) &amp; CHAR(9) &amp; IF(ROW(O31)=ROW(O$4),"","else_") &amp; "if = {
" &amp; CHAR(9) &amp; CHAR(9) &amp; CHAR(9) &amp; CHAR(9) &amp; "limit = { NOT = { " &amp; IF($B33&lt;&gt;"", "AND = { num_pops &gt; " &amp; IF($B32=0,0,$B32-1) &amp; " num_pops &lt; " &amp; $B33 &amp; " ", "") &amp; "has_modifier = buy_influence_drain_" &amp; IF(E32&lt;100,"00",IF(E32&lt;1000,"0","")) &amp; E32 &amp; " "&amp; IF($B33&lt;&gt;"","}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IF(E32&lt;100,"00",IF(E32&lt;1000,"0","")) &amp; E32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has_modifier = buy_influence_drain_0500 } }
				if = {
					limit = { has_country_flag = buy_influence_auto_renew }
					country_event = { id = buy_influence.300 }
					add_modifier = { modifier = "buy_influence_drain_0500" days = -1 } }
				}
				else = {
					country_event = { id = buy_influence.100 }
				}
			}
</v>
      </c>
      <c r="P32" t="str">
        <f>CHAR(9) &amp; CHAR(9) &amp; CHAR(9) &amp; IF(ROW(P31)=ROW(P$4),"","else_") &amp; "if = {
" &amp; CHAR(9) &amp; CHAR(9) &amp; CHAR(9) &amp; CHAR(9) &amp; "limit = { NOT = { " &amp; IF($B33&lt;&gt;"", "AND = { num_pops &gt; " &amp; IF($B32=0,0,$B32-1) &amp; " num_pops &lt; " &amp; $B33 &amp; " ", "") &amp; "has_modifier = buy_influence_drain_" &amp; IF(F32&lt;100,"00",IF(F32&lt;1000,"0","")) &amp; F32 &amp; " "&amp; IF($B33&lt;&gt;"","}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IF(F32&lt;100,"00",IF(F32&lt;1000,"0","")) &amp; F32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has_modifier = buy_influence_drain_1000 } }
				if = {
					limit = { has_country_flag = buy_influence_auto_renew }
					country_event = { id = buy_influence.300 }
					add_modifier = { modifier = "buy_influence_drain_1000" days = -1 } }
				}
				else = {
					country_event = { id = buy_influence.100 }
				}
			}
</v>
      </c>
      <c r="Q32" t="str">
        <f>CHAR(9) &amp; CHAR(9) &amp; CHAR(9) &amp; IF(ROW(Q31)=ROW(Q$4),"","else_") &amp; "if = {
" &amp; CHAR(9) &amp; CHAR(9) &amp; CHAR(9) &amp; CHAR(9) &amp; "limit = { NOT = { " &amp; IF($B33&lt;&gt;"", "AND = { num_pops &gt; " &amp; IF($B32=0,0,$B32-1) &amp; " num_pops &lt; " &amp; $B33 &amp; " ", "") &amp; "has_modifier = buy_influence_drain_" &amp; IF(G32&lt;100,"00",IF(G32&lt;1000,"0","")) &amp; G32 &amp; " "&amp; IF($B33&lt;&gt;"","}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IF(G32&lt;100,"00",IF(G32&lt;1000,"0","")) &amp; G32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has_modifier = buy_influence_drain_1500 } }
				if = {
					limit = { has_country_flag = buy_influence_auto_renew }
					country_event = { id = buy_influence.300 }
					add_modifier = { modifier = "buy_influence_drain_1500" days = -1 } }
				}
				else = {
					country_event = { id = buy_influence.100 }
				}
			}
</v>
      </c>
      <c r="R32" t="str">
        <f>CHAR(9) &amp; CHAR(9) &amp; CHAR(9) &amp; IF(ROW(R31)=ROW(R$4),"","else_") &amp; "if = {
" &amp; CHAR(9) &amp; CHAR(9) &amp; CHAR(9) &amp; CHAR(9) &amp; "limit = { NOT = { " &amp; IF($B33&lt;&gt;"", "AND = { num_pops &gt; " &amp; IF($B32=0,0,$B32-1) &amp; " num_pops &lt; " &amp; $B33 &amp; " ", "") &amp; "has_modifier = buy_influence_drain_" &amp; IF(H32&lt;100,"00",IF(H32&lt;1000,"0","")) &amp; H32 &amp; " "&amp; IF($B33&lt;&gt;"","} ","") &amp; "} }
" &amp; CHAR(9) &amp; CHAR(9) &amp; CHAR(9) &amp; CHAR(9) &amp; "if = {
" &amp; CHAR(9) &amp; CHAR(9) &amp; CHAR(9) &amp; CHAR(9) &amp; CHAR(9) &amp; "limit = { has_country_flag = buy_influence_auto_renew }
" &amp; CHAR(9) &amp; CHAR(9) &amp; CHAR(9) &amp; CHAR(9) &amp; CHAR(9) &amp; "country_event = { id = buy_influence.300 }
" &amp; CHAR(9) &amp; CHAR(9) &amp; CHAR(9) &amp; CHAR(9) &amp; CHAR(9) &amp; "add_modifier = { modifier = ""buy_influence_drain_" &amp; IF(H32&lt;100,"00",IF(H32&lt;1000,"0","")) &amp; H32 &amp; """ days = -1 } }
" &amp; CHAR(9) &amp; CHAR(9) &amp; CHAR(9) &amp; CHAR(9) &amp; "}
" &amp; CHAR(9) &amp; CHAR(9) &amp; CHAR(9) &amp; CHAR(9) &amp; "else = {
" &amp; CHAR(9) &amp; CHAR(9) &amp; CHAR(9) &amp; CHAR(9) &amp; CHAR(9) &amp; "country_event = { id = buy_influence.100 }
" &amp; CHAR(9) &amp; CHAR(9) &amp; CHAR(9) &amp; CHAR(9) &amp; "}
" &amp; CHAR(9) &amp; CHAR(9) &amp; CHAR(9) &amp; "}
"</f>
        <v xml:space="preserve">			else_if = {
				limit = { NOT = { has_modifier = buy_influence_drain_2000 } }
				if = {
					limit = { has_country_flag = buy_influence_auto_renew }
					country_event = { id = buy_influence.300 }
					add_modifier = { modifier = "buy_influence_drain_2000" days = -1 } }
				}
				else = {
					country_event = { id = buy_influence.100 }
				}
			}
</v>
      </c>
      <c r="V32" t="str">
        <f>CHAR(9) &amp; CHAR(9) &amp; IF($B33="","else",IF(ROW(V31)=ROW(V$4),"if","else_if")) &amp; " = {
" &amp; IF($B33="","",CHAR(9) &amp; CHAR(9) &amp; CHAR(9) &amp; "limit = { num_pops &lt; " &amp; $B33 &amp; " }
") &amp; CHAR(9) &amp; CHAR(9) &amp; CHAR(9) &amp; "add_modifier = { modifier = ""buy_influence_drain_" &amp; IF(E32&lt;100,"00",IF(E32&lt;1000,"0","")) &amp; E32 &amp; """ days = -1 }
" &amp; CHAR(9) &amp; CHAR(9) &amp; "}
"</f>
        <v xml:space="preserve">		else = {
			add_modifier = { modifier = "buy_influence_drain_0500" days = -1 }
		}
</v>
      </c>
      <c r="W32" t="str">
        <f>CHAR(9) &amp; CHAR(9) &amp; IF($B33="","else",IF(ROW(W31)=ROW(W$4),"if","else_if")) &amp; " = {
" &amp; IF($B33="","",CHAR(9) &amp; CHAR(9) &amp; CHAR(9) &amp; "limit = { num_pops &lt; " &amp; $B33 &amp; " }
") &amp; CHAR(9) &amp; CHAR(9) &amp; CHAR(9) &amp; "add_modifier = { modifier = ""buy_influence_drain_" &amp; IF(F32&lt;100,"00",IF(F32&lt;1000,"0","")) &amp; F32 &amp; """ days = -1 }
" &amp; CHAR(9) &amp; CHAR(9) &amp; "}
"</f>
        <v xml:space="preserve">		else = {
			add_modifier = { modifier = "buy_influence_drain_1000" days = -1 }
		}
</v>
      </c>
      <c r="X32" t="str">
        <f>CHAR(9) &amp; CHAR(9) &amp; IF($B33="","else",IF(ROW(X31)=ROW(X$4),"if","else_if")) &amp; " = {
" &amp; IF($B33="","",CHAR(9) &amp; CHAR(9) &amp; CHAR(9) &amp; "limit = { num_pops &lt; " &amp; $B33 &amp; " }
") &amp; CHAR(9) &amp; CHAR(9) &amp; CHAR(9) &amp; "add_modifier = { modifier = ""buy_influence_drain_" &amp; IF(G32&lt;100,"00",IF(G32&lt;1000,"0","")) &amp; G32 &amp; """ days = -1 }
" &amp; CHAR(9) &amp; CHAR(9) &amp; "}
"</f>
        <v xml:space="preserve">		else = {
			add_modifier = { modifier = "buy_influence_drain_1500" days = -1 }
		}
</v>
      </c>
      <c r="Y32" t="str">
        <f>CHAR(9) &amp; CHAR(9) &amp; IF($B33="","else",IF(ROW(Y31)=ROW(Y$4),"if","else_if")) &amp; " = {
" &amp; IF($B33="","",CHAR(9) &amp; CHAR(9) &amp; CHAR(9) &amp; "limit = { num_pops &lt; " &amp; $B33 &amp; " }
") &amp; CHAR(9) &amp; CHAR(9) &amp; CHAR(9) &amp; "add_modifier = { modifier = ""buy_influence_drain_" &amp; IF(H32&lt;100,"00",IF(H32&lt;1000,"0","")) &amp; H32 &amp; """ days = -1 }
" &amp; CHAR(9) &amp; CHAR(9) &amp; "}
"</f>
        <v xml:space="preserve">		else = {
			add_modifier = { modifier = "buy_influence_drain_2000" days = -1 }
		}
</v>
      </c>
    </row>
    <row r="33" spans="10:11" x14ac:dyDescent="0.45">
      <c r="J33">
        <v>150</v>
      </c>
      <c r="K33">
        <f>INDEX(D:D,MATCH(J33,B:B,1))</f>
        <v>3</v>
      </c>
    </row>
    <row r="34" spans="10:11" x14ac:dyDescent="0.45">
      <c r="J34">
        <v>155</v>
      </c>
      <c r="K34">
        <f>INDEX(D:D,MATCH(J34,B:B,1))</f>
        <v>3</v>
      </c>
    </row>
    <row r="35" spans="10:11" x14ac:dyDescent="0.45">
      <c r="J35">
        <v>160</v>
      </c>
      <c r="K35">
        <f>INDEX(D:D,MATCH(J35,B:B,1))</f>
        <v>3</v>
      </c>
    </row>
    <row r="36" spans="10:11" x14ac:dyDescent="0.45">
      <c r="J36">
        <v>165</v>
      </c>
      <c r="K36">
        <f>INDEX(D:D,MATCH(J36,B:B,1))</f>
        <v>3</v>
      </c>
    </row>
    <row r="37" spans="10:11" x14ac:dyDescent="0.45">
      <c r="J37">
        <v>170</v>
      </c>
      <c r="K37">
        <f>INDEX(D:D,MATCH(J37,B:B,1))</f>
        <v>3</v>
      </c>
    </row>
    <row r="38" spans="10:11" x14ac:dyDescent="0.45">
      <c r="J38">
        <v>175</v>
      </c>
      <c r="K38">
        <f>INDEX(D:D,MATCH(J38,B:B,1))</f>
        <v>3</v>
      </c>
    </row>
    <row r="39" spans="10:11" x14ac:dyDescent="0.45">
      <c r="J39">
        <v>180</v>
      </c>
      <c r="K39">
        <f>INDEX(D:D,MATCH(J39,B:B,1))</f>
        <v>3.5</v>
      </c>
    </row>
    <row r="40" spans="10:11" x14ac:dyDescent="0.45">
      <c r="J40">
        <v>185</v>
      </c>
      <c r="K40">
        <f>INDEX(D:D,MATCH(J40,B:B,1))</f>
        <v>3.5</v>
      </c>
    </row>
    <row r="41" spans="10:11" x14ac:dyDescent="0.45">
      <c r="J41">
        <v>190</v>
      </c>
      <c r="K41">
        <f>INDEX(D:D,MATCH(J41,B:B,1))</f>
        <v>3.5</v>
      </c>
    </row>
    <row r="42" spans="10:11" x14ac:dyDescent="0.45">
      <c r="J42">
        <v>195</v>
      </c>
      <c r="K42">
        <f>INDEX(D:D,MATCH(J42,B:B,1))</f>
        <v>3.5</v>
      </c>
    </row>
    <row r="43" spans="10:11" x14ac:dyDescent="0.45">
      <c r="J43">
        <v>200</v>
      </c>
      <c r="K43">
        <f>INDEX(D:D,MATCH(J43,B:B,1))</f>
        <v>3.5</v>
      </c>
    </row>
    <row r="44" spans="10:11" x14ac:dyDescent="0.45">
      <c r="J44">
        <v>205</v>
      </c>
      <c r="K44">
        <f>INDEX(D:D,MATCH(J44,B:B,1))</f>
        <v>3.5</v>
      </c>
    </row>
    <row r="45" spans="10:11" x14ac:dyDescent="0.45">
      <c r="J45">
        <v>210</v>
      </c>
      <c r="K45">
        <f>INDEX(D:D,MATCH(J45,B:B,1))</f>
        <v>4</v>
      </c>
    </row>
    <row r="46" spans="10:11" x14ac:dyDescent="0.45">
      <c r="J46">
        <v>215</v>
      </c>
      <c r="K46">
        <f>INDEX(D:D,MATCH(J46,B:B,1))</f>
        <v>4</v>
      </c>
    </row>
    <row r="47" spans="10:11" x14ac:dyDescent="0.45">
      <c r="J47">
        <v>220</v>
      </c>
      <c r="K47">
        <f>INDEX(D:D,MATCH(J47,B:B,1))</f>
        <v>4</v>
      </c>
    </row>
    <row r="48" spans="10:11" x14ac:dyDescent="0.45">
      <c r="J48">
        <v>225</v>
      </c>
      <c r="K48">
        <f>INDEX(D:D,MATCH(J48,B:B,1))</f>
        <v>4</v>
      </c>
    </row>
    <row r="49" spans="10:11" x14ac:dyDescent="0.45">
      <c r="J49">
        <v>230</v>
      </c>
      <c r="K49">
        <f>INDEX(D:D,MATCH(J49,B:B,1))</f>
        <v>4</v>
      </c>
    </row>
    <row r="50" spans="10:11" x14ac:dyDescent="0.45">
      <c r="J50">
        <v>235</v>
      </c>
      <c r="K50">
        <f>INDEX(D:D,MATCH(J50,B:B,1))</f>
        <v>4</v>
      </c>
    </row>
    <row r="51" spans="10:11" x14ac:dyDescent="0.45">
      <c r="J51">
        <v>240</v>
      </c>
      <c r="K51">
        <f>INDEX(D:D,MATCH(J51,B:B,1))</f>
        <v>4.5</v>
      </c>
    </row>
    <row r="52" spans="10:11" x14ac:dyDescent="0.45">
      <c r="J52">
        <v>245</v>
      </c>
      <c r="K52">
        <f>INDEX(D:D,MATCH(J52,B:B,1))</f>
        <v>4.5</v>
      </c>
    </row>
    <row r="53" spans="10:11" x14ac:dyDescent="0.45">
      <c r="J53">
        <v>250</v>
      </c>
      <c r="K53">
        <f>INDEX(D:D,MATCH(J53,B:B,1))</f>
        <v>4.5</v>
      </c>
    </row>
    <row r="54" spans="10:11" x14ac:dyDescent="0.45">
      <c r="J54">
        <v>255</v>
      </c>
      <c r="K54">
        <f>INDEX(D:D,MATCH(J54,B:B,1))</f>
        <v>4.5</v>
      </c>
    </row>
    <row r="55" spans="10:11" x14ac:dyDescent="0.45">
      <c r="J55">
        <v>260</v>
      </c>
      <c r="K55">
        <f>INDEX(D:D,MATCH(J55,B:B,1))</f>
        <v>4.5</v>
      </c>
    </row>
    <row r="56" spans="10:11" x14ac:dyDescent="0.45">
      <c r="J56">
        <v>265</v>
      </c>
      <c r="K56">
        <f>INDEX(D:D,MATCH(J56,B:B,1))</f>
        <v>4.5</v>
      </c>
    </row>
    <row r="57" spans="10:11" x14ac:dyDescent="0.45">
      <c r="J57">
        <v>270</v>
      </c>
      <c r="K57">
        <f>INDEX(D:D,MATCH(J57,B:B,1))</f>
        <v>5</v>
      </c>
    </row>
    <row r="58" spans="10:11" x14ac:dyDescent="0.45">
      <c r="J58">
        <v>275</v>
      </c>
      <c r="K58">
        <f>INDEX(D:D,MATCH(J58,B:B,1))</f>
        <v>5</v>
      </c>
    </row>
    <row r="59" spans="10:11" x14ac:dyDescent="0.45">
      <c r="J59">
        <v>280</v>
      </c>
      <c r="K59">
        <f>INDEX(D:D,MATCH(J59,B:B,1))</f>
        <v>5</v>
      </c>
    </row>
    <row r="60" spans="10:11" x14ac:dyDescent="0.45">
      <c r="J60">
        <v>285</v>
      </c>
      <c r="K60">
        <f>INDEX(D:D,MATCH(J60,B:B,1))</f>
        <v>5</v>
      </c>
    </row>
    <row r="61" spans="10:11" x14ac:dyDescent="0.45">
      <c r="J61">
        <v>290</v>
      </c>
      <c r="K61">
        <f>INDEX(D:D,MATCH(J61,B:B,1))</f>
        <v>5</v>
      </c>
    </row>
    <row r="62" spans="10:11" x14ac:dyDescent="0.45">
      <c r="J62">
        <v>295</v>
      </c>
      <c r="K62">
        <f>INDEX(D:D,MATCH(J62,B:B,1))</f>
        <v>5</v>
      </c>
    </row>
    <row r="63" spans="10:11" x14ac:dyDescent="0.45">
      <c r="J63">
        <v>300</v>
      </c>
      <c r="K63">
        <f>INDEX(D:D,MATCH(J63,B:B,1))</f>
        <v>5</v>
      </c>
    </row>
    <row r="64" spans="10:11" x14ac:dyDescent="0.45">
      <c r="J64">
        <v>305</v>
      </c>
      <c r="K64">
        <f>INDEX(D:D,MATCH(J64,B:B,1))</f>
        <v>5</v>
      </c>
    </row>
    <row r="65" spans="10:11" x14ac:dyDescent="0.45">
      <c r="J65">
        <v>310</v>
      </c>
      <c r="K65">
        <f>INDEX(D:D,MATCH(J65,B:B,1))</f>
        <v>5</v>
      </c>
    </row>
    <row r="66" spans="10:11" x14ac:dyDescent="0.45">
      <c r="J66">
        <v>315</v>
      </c>
      <c r="K66">
        <f>INDEX(D:D,MATCH(J66,B:B,1))</f>
        <v>5</v>
      </c>
    </row>
    <row r="67" spans="10:11" x14ac:dyDescent="0.45">
      <c r="J67">
        <v>320</v>
      </c>
      <c r="K67">
        <f>INDEX(D:D,MATCH(J67,B:B,1))</f>
        <v>5</v>
      </c>
    </row>
    <row r="68" spans="10:11" x14ac:dyDescent="0.45">
      <c r="J68">
        <v>325</v>
      </c>
      <c r="K68">
        <f>INDEX(D:D,MATCH(J68,B:B,1))</f>
        <v>5</v>
      </c>
    </row>
    <row r="69" spans="10:11" x14ac:dyDescent="0.45">
      <c r="J69">
        <v>330</v>
      </c>
      <c r="K69">
        <f>INDEX(D:D,MATCH(J69,B:B,1))</f>
        <v>6</v>
      </c>
    </row>
    <row r="70" spans="10:11" x14ac:dyDescent="0.45">
      <c r="J70">
        <v>335</v>
      </c>
      <c r="K70">
        <f>INDEX(D:D,MATCH(J70,B:B,1))</f>
        <v>6</v>
      </c>
    </row>
    <row r="71" spans="10:11" x14ac:dyDescent="0.45">
      <c r="J71">
        <v>340</v>
      </c>
      <c r="K71">
        <f>INDEX(D:D,MATCH(J71,B:B,1))</f>
        <v>6</v>
      </c>
    </row>
    <row r="72" spans="10:11" x14ac:dyDescent="0.45">
      <c r="J72">
        <v>345</v>
      </c>
      <c r="K72">
        <f>INDEX(D:D,MATCH(J72,B:B,1))</f>
        <v>6</v>
      </c>
    </row>
    <row r="73" spans="10:11" x14ac:dyDescent="0.45">
      <c r="J73">
        <v>350</v>
      </c>
      <c r="K73">
        <f>INDEX(D:D,MATCH(J73,B:B,1))</f>
        <v>6</v>
      </c>
    </row>
    <row r="74" spans="10:11" x14ac:dyDescent="0.45">
      <c r="J74">
        <v>355</v>
      </c>
      <c r="K74">
        <f>INDEX(D:D,MATCH(J74,B:B,1))</f>
        <v>6</v>
      </c>
    </row>
    <row r="75" spans="10:11" x14ac:dyDescent="0.45">
      <c r="J75">
        <v>360</v>
      </c>
      <c r="K75">
        <f>INDEX(D:D,MATCH(J75,B:B,1))</f>
        <v>6</v>
      </c>
    </row>
    <row r="76" spans="10:11" x14ac:dyDescent="0.45">
      <c r="J76">
        <v>365</v>
      </c>
      <c r="K76">
        <f>INDEX(D:D,MATCH(J76,B:B,1))</f>
        <v>6</v>
      </c>
    </row>
    <row r="77" spans="10:11" x14ac:dyDescent="0.45">
      <c r="J77">
        <v>370</v>
      </c>
      <c r="K77">
        <f>INDEX(D:D,MATCH(J77,B:B,1))</f>
        <v>6</v>
      </c>
    </row>
    <row r="78" spans="10:11" x14ac:dyDescent="0.45">
      <c r="J78">
        <v>375</v>
      </c>
      <c r="K78">
        <f>INDEX(D:D,MATCH(J78,B:B,1))</f>
        <v>6</v>
      </c>
    </row>
    <row r="79" spans="10:11" x14ac:dyDescent="0.45">
      <c r="J79">
        <v>380</v>
      </c>
      <c r="K79">
        <f>INDEX(D:D,MATCH(J79,B:B,1))</f>
        <v>6</v>
      </c>
    </row>
    <row r="80" spans="10:11" x14ac:dyDescent="0.45">
      <c r="J80">
        <v>385</v>
      </c>
      <c r="K80">
        <f>INDEX(D:D,MATCH(J80,B:B,1))</f>
        <v>6</v>
      </c>
    </row>
    <row r="81" spans="10:11" x14ac:dyDescent="0.45">
      <c r="J81">
        <v>390</v>
      </c>
      <c r="K81">
        <f>INDEX(D:D,MATCH(J81,B:B,1))</f>
        <v>7</v>
      </c>
    </row>
    <row r="82" spans="10:11" x14ac:dyDescent="0.45">
      <c r="J82">
        <v>395</v>
      </c>
      <c r="K82">
        <f>INDEX(D:D,MATCH(J82,B:B,1))</f>
        <v>7</v>
      </c>
    </row>
    <row r="83" spans="10:11" x14ac:dyDescent="0.45">
      <c r="J83">
        <v>400</v>
      </c>
      <c r="K83">
        <f>INDEX(D:D,MATCH(J83,B:B,1))</f>
        <v>7</v>
      </c>
    </row>
    <row r="84" spans="10:11" x14ac:dyDescent="0.45">
      <c r="J84">
        <v>405</v>
      </c>
      <c r="K84">
        <f>INDEX(D:D,MATCH(J84,B:B,1))</f>
        <v>7</v>
      </c>
    </row>
    <row r="85" spans="10:11" x14ac:dyDescent="0.45">
      <c r="J85">
        <v>410</v>
      </c>
      <c r="K85">
        <f>INDEX(D:D,MATCH(J85,B:B,1))</f>
        <v>7</v>
      </c>
    </row>
    <row r="86" spans="10:11" x14ac:dyDescent="0.45">
      <c r="J86">
        <v>415</v>
      </c>
      <c r="K86">
        <f>INDEX(D:D,MATCH(J86,B:B,1))</f>
        <v>7</v>
      </c>
    </row>
    <row r="87" spans="10:11" x14ac:dyDescent="0.45">
      <c r="J87">
        <v>420</v>
      </c>
      <c r="K87">
        <f>INDEX(D:D,MATCH(J87,B:B,1))</f>
        <v>7</v>
      </c>
    </row>
    <row r="88" spans="10:11" x14ac:dyDescent="0.45">
      <c r="J88">
        <v>425</v>
      </c>
      <c r="K88">
        <f>INDEX(D:D,MATCH(J88,B:B,1))</f>
        <v>7</v>
      </c>
    </row>
    <row r="89" spans="10:11" x14ac:dyDescent="0.45">
      <c r="J89">
        <v>430</v>
      </c>
      <c r="K89">
        <f>INDEX(D:D,MATCH(J89,B:B,1))</f>
        <v>7</v>
      </c>
    </row>
    <row r="90" spans="10:11" x14ac:dyDescent="0.45">
      <c r="J90">
        <v>435</v>
      </c>
      <c r="K90">
        <f>INDEX(D:D,MATCH(J90,B:B,1))</f>
        <v>7</v>
      </c>
    </row>
    <row r="91" spans="10:11" x14ac:dyDescent="0.45">
      <c r="J91">
        <v>440</v>
      </c>
      <c r="K91">
        <f>INDEX(D:D,MATCH(J91,B:B,1))</f>
        <v>7</v>
      </c>
    </row>
    <row r="92" spans="10:11" x14ac:dyDescent="0.45">
      <c r="J92">
        <v>445</v>
      </c>
      <c r="K92">
        <f>INDEX(D:D,MATCH(J92,B:B,1))</f>
        <v>7</v>
      </c>
    </row>
    <row r="93" spans="10:11" x14ac:dyDescent="0.45">
      <c r="J93">
        <v>450</v>
      </c>
      <c r="K93">
        <f>INDEX(D:D,MATCH(J93,B:B,1))</f>
        <v>8</v>
      </c>
    </row>
    <row r="94" spans="10:11" x14ac:dyDescent="0.45">
      <c r="J94">
        <v>455</v>
      </c>
      <c r="K94">
        <f>INDEX(D:D,MATCH(J94,B:B,1))</f>
        <v>8</v>
      </c>
    </row>
    <row r="95" spans="10:11" x14ac:dyDescent="0.45">
      <c r="J95">
        <v>460</v>
      </c>
      <c r="K95">
        <f>INDEX(D:D,MATCH(J95,B:B,1))</f>
        <v>8</v>
      </c>
    </row>
    <row r="96" spans="10:11" x14ac:dyDescent="0.45">
      <c r="J96">
        <v>465</v>
      </c>
      <c r="K96">
        <f>INDEX(D:D,MATCH(J96,B:B,1))</f>
        <v>8</v>
      </c>
    </row>
    <row r="97" spans="10:11" x14ac:dyDescent="0.45">
      <c r="J97">
        <v>470</v>
      </c>
      <c r="K97">
        <f>INDEX(D:D,MATCH(J97,B:B,1))</f>
        <v>8</v>
      </c>
    </row>
    <row r="98" spans="10:11" x14ac:dyDescent="0.45">
      <c r="J98">
        <v>475</v>
      </c>
      <c r="K98">
        <f>INDEX(D:D,MATCH(J98,B:B,1))</f>
        <v>8</v>
      </c>
    </row>
    <row r="99" spans="10:11" x14ac:dyDescent="0.45">
      <c r="J99">
        <v>480</v>
      </c>
      <c r="K99">
        <f>INDEX(D:D,MATCH(J99,B:B,1))</f>
        <v>8</v>
      </c>
    </row>
    <row r="100" spans="10:11" x14ac:dyDescent="0.45">
      <c r="J100">
        <v>485</v>
      </c>
      <c r="K100">
        <f>INDEX(D:D,MATCH(J100,B:B,1))</f>
        <v>8</v>
      </c>
    </row>
    <row r="101" spans="10:11" x14ac:dyDescent="0.45">
      <c r="J101">
        <v>490</v>
      </c>
      <c r="K101">
        <f>INDEX(D:D,MATCH(J101,B:B,1))</f>
        <v>8</v>
      </c>
    </row>
    <row r="102" spans="10:11" x14ac:dyDescent="0.45">
      <c r="J102">
        <v>495</v>
      </c>
      <c r="K102">
        <f>INDEX(D:D,MATCH(J102,B:B,1))</f>
        <v>8</v>
      </c>
    </row>
    <row r="103" spans="10:11" x14ac:dyDescent="0.45">
      <c r="J103">
        <v>500</v>
      </c>
      <c r="K103">
        <f>INDEX(D:D,MATCH(J103,B:B,1))</f>
        <v>8</v>
      </c>
    </row>
    <row r="104" spans="10:11" x14ac:dyDescent="0.45">
      <c r="J104">
        <v>505</v>
      </c>
      <c r="K104">
        <f>INDEX(D:D,MATCH(J104,B:B,1))</f>
        <v>8</v>
      </c>
    </row>
    <row r="105" spans="10:11" x14ac:dyDescent="0.45">
      <c r="J105">
        <v>510</v>
      </c>
      <c r="K105">
        <f>INDEX(D:D,MATCH(J105,B:B,1))</f>
        <v>9</v>
      </c>
    </row>
    <row r="106" spans="10:11" x14ac:dyDescent="0.45">
      <c r="J106">
        <v>515</v>
      </c>
      <c r="K106">
        <f>INDEX(D:D,MATCH(J106,B:B,1))</f>
        <v>9</v>
      </c>
    </row>
    <row r="107" spans="10:11" x14ac:dyDescent="0.45">
      <c r="J107">
        <v>520</v>
      </c>
      <c r="K107">
        <f>INDEX(D:D,MATCH(J107,B:B,1))</f>
        <v>9</v>
      </c>
    </row>
    <row r="108" spans="10:11" x14ac:dyDescent="0.45">
      <c r="J108">
        <v>525</v>
      </c>
      <c r="K108">
        <f>INDEX(D:D,MATCH(J108,B:B,1))</f>
        <v>9</v>
      </c>
    </row>
    <row r="109" spans="10:11" x14ac:dyDescent="0.45">
      <c r="J109">
        <v>530</v>
      </c>
      <c r="K109">
        <f>INDEX(D:D,MATCH(J109,B:B,1))</f>
        <v>9</v>
      </c>
    </row>
    <row r="110" spans="10:11" x14ac:dyDescent="0.45">
      <c r="J110">
        <v>535</v>
      </c>
      <c r="K110">
        <f>INDEX(D:D,MATCH(J110,B:B,1))</f>
        <v>9</v>
      </c>
    </row>
    <row r="111" spans="10:11" x14ac:dyDescent="0.45">
      <c r="J111">
        <v>540</v>
      </c>
      <c r="K111">
        <f>INDEX(D:D,MATCH(J111,B:B,1))</f>
        <v>9</v>
      </c>
    </row>
    <row r="112" spans="10:11" x14ac:dyDescent="0.45">
      <c r="J112">
        <v>545</v>
      </c>
      <c r="K112">
        <f>INDEX(D:D,MATCH(J112,B:B,1))</f>
        <v>9</v>
      </c>
    </row>
    <row r="113" spans="10:11" x14ac:dyDescent="0.45">
      <c r="J113">
        <v>550</v>
      </c>
      <c r="K113">
        <f>INDEX(D:D,MATCH(J113,B:B,1))</f>
        <v>9</v>
      </c>
    </row>
    <row r="114" spans="10:11" x14ac:dyDescent="0.45">
      <c r="J114">
        <v>555</v>
      </c>
      <c r="K114">
        <f>INDEX(D:D,MATCH(J114,B:B,1))</f>
        <v>9</v>
      </c>
    </row>
    <row r="115" spans="10:11" x14ac:dyDescent="0.45">
      <c r="J115">
        <v>560</v>
      </c>
      <c r="K115">
        <f>INDEX(D:D,MATCH(J115,B:B,1))</f>
        <v>9</v>
      </c>
    </row>
    <row r="116" spans="10:11" x14ac:dyDescent="0.45">
      <c r="J116">
        <v>565</v>
      </c>
      <c r="K116">
        <f>INDEX(D:D,MATCH(J116,B:B,1))</f>
        <v>9</v>
      </c>
    </row>
    <row r="117" spans="10:11" x14ac:dyDescent="0.45">
      <c r="J117">
        <v>570</v>
      </c>
      <c r="K117">
        <f>INDEX(D:D,MATCH(J117,B:B,1))</f>
        <v>10</v>
      </c>
    </row>
    <row r="118" spans="10:11" x14ac:dyDescent="0.45">
      <c r="J118">
        <v>575</v>
      </c>
      <c r="K118">
        <f>INDEX(D:D,MATCH(J118,B:B,1))</f>
        <v>10</v>
      </c>
    </row>
    <row r="119" spans="10:11" x14ac:dyDescent="0.45">
      <c r="J119">
        <v>580</v>
      </c>
      <c r="K119">
        <f>INDEX(D:D,MATCH(J119,B:B,1))</f>
        <v>10</v>
      </c>
    </row>
    <row r="120" spans="10:11" x14ac:dyDescent="0.45">
      <c r="J120">
        <v>585</v>
      </c>
      <c r="K120">
        <f>INDEX(D:D,MATCH(J120,B:B,1))</f>
        <v>10</v>
      </c>
    </row>
    <row r="121" spans="10:11" x14ac:dyDescent="0.45">
      <c r="J121">
        <v>590</v>
      </c>
      <c r="K121">
        <f>INDEX(D:D,MATCH(J121,B:B,1))</f>
        <v>10</v>
      </c>
    </row>
    <row r="122" spans="10:11" x14ac:dyDescent="0.45">
      <c r="J122">
        <v>595</v>
      </c>
      <c r="K122">
        <f>INDEX(D:D,MATCH(J122,B:B,1))</f>
        <v>10</v>
      </c>
    </row>
    <row r="123" spans="10:11" x14ac:dyDescent="0.45">
      <c r="J123">
        <v>600</v>
      </c>
      <c r="K123">
        <f>INDEX(D:D,MATCH(J123,B:B,1))</f>
        <v>10</v>
      </c>
    </row>
    <row r="124" spans="10:11" x14ac:dyDescent="0.45">
      <c r="J124">
        <v>605</v>
      </c>
      <c r="K124">
        <f>INDEX(D:D,MATCH(J124,B:B,1))</f>
        <v>10</v>
      </c>
    </row>
    <row r="125" spans="10:11" x14ac:dyDescent="0.45">
      <c r="J125">
        <v>610</v>
      </c>
      <c r="K125">
        <f>INDEX(D:D,MATCH(J125,B:B,1))</f>
        <v>10</v>
      </c>
    </row>
    <row r="126" spans="10:11" x14ac:dyDescent="0.45">
      <c r="J126">
        <v>615</v>
      </c>
      <c r="K126">
        <f>INDEX(D:D,MATCH(J126,B:B,1))</f>
        <v>10</v>
      </c>
    </row>
    <row r="127" spans="10:11" x14ac:dyDescent="0.45">
      <c r="J127">
        <v>620</v>
      </c>
      <c r="K127">
        <f>INDEX(D:D,MATCH(J127,B:B,1))</f>
        <v>10</v>
      </c>
    </row>
    <row r="128" spans="10:11" x14ac:dyDescent="0.45">
      <c r="J128">
        <v>625</v>
      </c>
      <c r="K128">
        <f>INDEX(D:D,MATCH(J128,B:B,1))</f>
        <v>10</v>
      </c>
    </row>
    <row r="129" spans="10:11" x14ac:dyDescent="0.45">
      <c r="J129">
        <v>630</v>
      </c>
      <c r="K129">
        <f>INDEX(D:D,MATCH(J129,B:B,1))</f>
        <v>10</v>
      </c>
    </row>
    <row r="130" spans="10:11" x14ac:dyDescent="0.45">
      <c r="J130">
        <v>635</v>
      </c>
      <c r="K130">
        <f>INDEX(D:D,MATCH(J130,B:B,1))</f>
        <v>10</v>
      </c>
    </row>
    <row r="131" spans="10:11" x14ac:dyDescent="0.45">
      <c r="J131">
        <v>640</v>
      </c>
      <c r="K131">
        <f>INDEX(D:D,MATCH(J131,B:B,1))</f>
        <v>10</v>
      </c>
    </row>
    <row r="132" spans="10:11" x14ac:dyDescent="0.45">
      <c r="J132">
        <v>645</v>
      </c>
      <c r="K132">
        <f>INDEX(D:D,MATCH(J132,B:B,1))</f>
        <v>10</v>
      </c>
    </row>
    <row r="133" spans="10:11" x14ac:dyDescent="0.45">
      <c r="J133">
        <v>650</v>
      </c>
      <c r="K133">
        <f>INDEX(D:D,MATCH(J133,B:B,1))</f>
        <v>10</v>
      </c>
    </row>
    <row r="134" spans="10:11" x14ac:dyDescent="0.45">
      <c r="J134">
        <v>655</v>
      </c>
      <c r="K134">
        <f>INDEX(D:D,MATCH(J134,B:B,1))</f>
        <v>10</v>
      </c>
    </row>
    <row r="135" spans="10:11" x14ac:dyDescent="0.45">
      <c r="J135">
        <v>660</v>
      </c>
      <c r="K135">
        <f>INDEX(D:D,MATCH(J135,B:B,1))</f>
        <v>10</v>
      </c>
    </row>
    <row r="136" spans="10:11" x14ac:dyDescent="0.45">
      <c r="J136">
        <v>665</v>
      </c>
      <c r="K136">
        <f>INDEX(D:D,MATCH(J136,B:B,1))</f>
        <v>10</v>
      </c>
    </row>
    <row r="137" spans="10:11" x14ac:dyDescent="0.45">
      <c r="J137">
        <v>670</v>
      </c>
      <c r="K137">
        <f>INDEX(D:D,MATCH(J137,B:B,1))</f>
        <v>10</v>
      </c>
    </row>
    <row r="138" spans="10:11" x14ac:dyDescent="0.45">
      <c r="J138">
        <v>675</v>
      </c>
      <c r="K138">
        <f>INDEX(D:D,MATCH(J138,B:B,1))</f>
        <v>10</v>
      </c>
    </row>
    <row r="139" spans="10:11" x14ac:dyDescent="0.45">
      <c r="J139">
        <v>680</v>
      </c>
      <c r="K139">
        <f>INDEX(D:D,MATCH(J139,B:B,1))</f>
        <v>10</v>
      </c>
    </row>
    <row r="140" spans="10:11" x14ac:dyDescent="0.45">
      <c r="J140">
        <v>685</v>
      </c>
      <c r="K140">
        <f>INDEX(D:D,MATCH(J140,B:B,1))</f>
        <v>10</v>
      </c>
    </row>
    <row r="141" spans="10:11" x14ac:dyDescent="0.45">
      <c r="J141">
        <v>690</v>
      </c>
      <c r="K141">
        <f>INDEX(D:D,MATCH(J141,B:B,1))</f>
        <v>12</v>
      </c>
    </row>
    <row r="142" spans="10:11" x14ac:dyDescent="0.45">
      <c r="J142">
        <v>695</v>
      </c>
      <c r="K142">
        <f>INDEX(D:D,MATCH(J142,B:B,1))</f>
        <v>12</v>
      </c>
    </row>
    <row r="143" spans="10:11" x14ac:dyDescent="0.45">
      <c r="J143">
        <v>700</v>
      </c>
      <c r="K143">
        <f>INDEX(D:D,MATCH(J143,B:B,1))</f>
        <v>12</v>
      </c>
    </row>
    <row r="144" spans="10:11" x14ac:dyDescent="0.45">
      <c r="J144">
        <v>705</v>
      </c>
      <c r="K144">
        <f>INDEX(D:D,MATCH(J144,B:B,1))</f>
        <v>12</v>
      </c>
    </row>
    <row r="145" spans="10:11" x14ac:dyDescent="0.45">
      <c r="J145">
        <v>710</v>
      </c>
      <c r="K145">
        <f>INDEX(D:D,MATCH(J145,B:B,1))</f>
        <v>12</v>
      </c>
    </row>
    <row r="146" spans="10:11" x14ac:dyDescent="0.45">
      <c r="J146">
        <v>715</v>
      </c>
      <c r="K146">
        <f>INDEX(D:D,MATCH(J146,B:B,1))</f>
        <v>12</v>
      </c>
    </row>
    <row r="147" spans="10:11" x14ac:dyDescent="0.45">
      <c r="J147">
        <v>720</v>
      </c>
      <c r="K147">
        <f>INDEX(D:D,MATCH(J147,B:B,1))</f>
        <v>12</v>
      </c>
    </row>
    <row r="148" spans="10:11" x14ac:dyDescent="0.45">
      <c r="J148">
        <v>725</v>
      </c>
      <c r="K148">
        <f>INDEX(D:D,MATCH(J148,B:B,1))</f>
        <v>12</v>
      </c>
    </row>
    <row r="149" spans="10:11" x14ac:dyDescent="0.45">
      <c r="J149">
        <v>730</v>
      </c>
      <c r="K149">
        <f>INDEX(D:D,MATCH(J149,B:B,1))</f>
        <v>12</v>
      </c>
    </row>
    <row r="150" spans="10:11" x14ac:dyDescent="0.45">
      <c r="J150">
        <v>735</v>
      </c>
      <c r="K150">
        <f>INDEX(D:D,MATCH(J150,B:B,1))</f>
        <v>12</v>
      </c>
    </row>
    <row r="151" spans="10:11" x14ac:dyDescent="0.45">
      <c r="J151">
        <v>740</v>
      </c>
      <c r="K151">
        <f>INDEX(D:D,MATCH(J151,B:B,1))</f>
        <v>12</v>
      </c>
    </row>
    <row r="152" spans="10:11" x14ac:dyDescent="0.45">
      <c r="J152">
        <v>745</v>
      </c>
      <c r="K152">
        <f>INDEX(D:D,MATCH(J152,B:B,1))</f>
        <v>12</v>
      </c>
    </row>
    <row r="153" spans="10:11" x14ac:dyDescent="0.45">
      <c r="J153">
        <v>750</v>
      </c>
      <c r="K153">
        <f>INDEX(D:D,MATCH(J153,B:B,1))</f>
        <v>12</v>
      </c>
    </row>
    <row r="154" spans="10:11" x14ac:dyDescent="0.45">
      <c r="J154">
        <v>755</v>
      </c>
      <c r="K154">
        <f>INDEX(D:D,MATCH(J154,B:B,1))</f>
        <v>12</v>
      </c>
    </row>
    <row r="155" spans="10:11" x14ac:dyDescent="0.45">
      <c r="J155">
        <v>760</v>
      </c>
      <c r="K155">
        <f>INDEX(D:D,MATCH(J155,B:B,1))</f>
        <v>12</v>
      </c>
    </row>
    <row r="156" spans="10:11" x14ac:dyDescent="0.45">
      <c r="J156">
        <v>765</v>
      </c>
      <c r="K156">
        <f>INDEX(D:D,MATCH(J156,B:B,1))</f>
        <v>12</v>
      </c>
    </row>
    <row r="157" spans="10:11" x14ac:dyDescent="0.45">
      <c r="J157">
        <v>770</v>
      </c>
      <c r="K157">
        <f>INDEX(D:D,MATCH(J157,B:B,1))</f>
        <v>12</v>
      </c>
    </row>
    <row r="158" spans="10:11" x14ac:dyDescent="0.45">
      <c r="J158">
        <v>775</v>
      </c>
      <c r="K158">
        <f>INDEX(D:D,MATCH(J158,B:B,1))</f>
        <v>12</v>
      </c>
    </row>
    <row r="159" spans="10:11" x14ac:dyDescent="0.45">
      <c r="J159">
        <v>780</v>
      </c>
      <c r="K159">
        <f>INDEX(D:D,MATCH(J159,B:B,1))</f>
        <v>12</v>
      </c>
    </row>
    <row r="160" spans="10:11" x14ac:dyDescent="0.45">
      <c r="J160">
        <v>785</v>
      </c>
      <c r="K160">
        <f>INDEX(D:D,MATCH(J160,B:B,1))</f>
        <v>12</v>
      </c>
    </row>
    <row r="161" spans="10:11" x14ac:dyDescent="0.45">
      <c r="J161">
        <v>790</v>
      </c>
      <c r="K161">
        <f>INDEX(D:D,MATCH(J161,B:B,1))</f>
        <v>12</v>
      </c>
    </row>
    <row r="162" spans="10:11" x14ac:dyDescent="0.45">
      <c r="J162">
        <v>795</v>
      </c>
      <c r="K162">
        <f>INDEX(D:D,MATCH(J162,B:B,1))</f>
        <v>12</v>
      </c>
    </row>
    <row r="163" spans="10:11" x14ac:dyDescent="0.45">
      <c r="J163">
        <v>800</v>
      </c>
      <c r="K163">
        <f>INDEX(D:D,MATCH(J163,B:B,1))</f>
        <v>12</v>
      </c>
    </row>
    <row r="164" spans="10:11" x14ac:dyDescent="0.45">
      <c r="J164">
        <v>805</v>
      </c>
      <c r="K164">
        <f>INDEX(D:D,MATCH(J164,B:B,1))</f>
        <v>12</v>
      </c>
    </row>
    <row r="165" spans="10:11" x14ac:dyDescent="0.45">
      <c r="J165">
        <v>810</v>
      </c>
      <c r="K165">
        <f>INDEX(D:D,MATCH(J165,B:B,1))</f>
        <v>14</v>
      </c>
    </row>
    <row r="166" spans="10:11" x14ac:dyDescent="0.45">
      <c r="J166">
        <v>815</v>
      </c>
      <c r="K166">
        <f>INDEX(D:D,MATCH(J166,B:B,1))</f>
        <v>14</v>
      </c>
    </row>
    <row r="167" spans="10:11" x14ac:dyDescent="0.45">
      <c r="J167">
        <v>820</v>
      </c>
      <c r="K167">
        <f>INDEX(D:D,MATCH(J167,B:B,1))</f>
        <v>14</v>
      </c>
    </row>
    <row r="168" spans="10:11" x14ac:dyDescent="0.45">
      <c r="J168">
        <v>825</v>
      </c>
      <c r="K168">
        <f>INDEX(D:D,MATCH(J168,B:B,1))</f>
        <v>14</v>
      </c>
    </row>
    <row r="169" spans="10:11" x14ac:dyDescent="0.45">
      <c r="J169">
        <v>830</v>
      </c>
      <c r="K169">
        <f>INDEX(D:D,MATCH(J169,B:B,1))</f>
        <v>14</v>
      </c>
    </row>
    <row r="170" spans="10:11" x14ac:dyDescent="0.45">
      <c r="J170">
        <v>835</v>
      </c>
      <c r="K170">
        <f>INDEX(D:D,MATCH(J170,B:B,1))</f>
        <v>14</v>
      </c>
    </row>
    <row r="171" spans="10:11" x14ac:dyDescent="0.45">
      <c r="J171">
        <v>840</v>
      </c>
      <c r="K171">
        <f>INDEX(D:D,MATCH(J171,B:B,1))</f>
        <v>14</v>
      </c>
    </row>
    <row r="172" spans="10:11" x14ac:dyDescent="0.45">
      <c r="J172">
        <v>845</v>
      </c>
      <c r="K172">
        <f>INDEX(D:D,MATCH(J172,B:B,1))</f>
        <v>14</v>
      </c>
    </row>
    <row r="173" spans="10:11" x14ac:dyDescent="0.45">
      <c r="J173">
        <v>850</v>
      </c>
      <c r="K173">
        <f>INDEX(D:D,MATCH(J173,B:B,1))</f>
        <v>14</v>
      </c>
    </row>
    <row r="174" spans="10:11" x14ac:dyDescent="0.45">
      <c r="J174">
        <v>855</v>
      </c>
      <c r="K174">
        <f>INDEX(D:D,MATCH(J174,B:B,1))</f>
        <v>14</v>
      </c>
    </row>
    <row r="175" spans="10:11" x14ac:dyDescent="0.45">
      <c r="J175">
        <v>860</v>
      </c>
      <c r="K175">
        <f>INDEX(D:D,MATCH(J175,B:B,1))</f>
        <v>14</v>
      </c>
    </row>
    <row r="176" spans="10:11" x14ac:dyDescent="0.45">
      <c r="J176">
        <v>865</v>
      </c>
      <c r="K176">
        <f>INDEX(D:D,MATCH(J176,B:B,1))</f>
        <v>14</v>
      </c>
    </row>
    <row r="177" spans="10:11" x14ac:dyDescent="0.45">
      <c r="J177">
        <v>870</v>
      </c>
      <c r="K177">
        <f>INDEX(D:D,MATCH(J177,B:B,1))</f>
        <v>14</v>
      </c>
    </row>
    <row r="178" spans="10:11" x14ac:dyDescent="0.45">
      <c r="J178">
        <v>875</v>
      </c>
      <c r="K178">
        <f>INDEX(D:D,MATCH(J178,B:B,1))</f>
        <v>14</v>
      </c>
    </row>
    <row r="179" spans="10:11" x14ac:dyDescent="0.45">
      <c r="J179">
        <v>880</v>
      </c>
      <c r="K179">
        <f>INDEX(D:D,MATCH(J179,B:B,1))</f>
        <v>14</v>
      </c>
    </row>
    <row r="180" spans="10:11" x14ac:dyDescent="0.45">
      <c r="J180">
        <v>885</v>
      </c>
      <c r="K180">
        <f>INDEX(D:D,MATCH(J180,B:B,1))</f>
        <v>14</v>
      </c>
    </row>
    <row r="181" spans="10:11" x14ac:dyDescent="0.45">
      <c r="J181">
        <v>890</v>
      </c>
      <c r="K181">
        <f>INDEX(D:D,MATCH(J181,B:B,1))</f>
        <v>14</v>
      </c>
    </row>
    <row r="182" spans="10:11" x14ac:dyDescent="0.45">
      <c r="J182">
        <v>895</v>
      </c>
      <c r="K182">
        <f>INDEX(D:D,MATCH(J182,B:B,1))</f>
        <v>14</v>
      </c>
    </row>
    <row r="183" spans="10:11" x14ac:dyDescent="0.45">
      <c r="J183">
        <v>900</v>
      </c>
      <c r="K183">
        <f>INDEX(D:D,MATCH(J183,B:B,1))</f>
        <v>14</v>
      </c>
    </row>
    <row r="184" spans="10:11" x14ac:dyDescent="0.45">
      <c r="J184">
        <v>905</v>
      </c>
      <c r="K184">
        <f>INDEX(D:D,MATCH(J184,B:B,1))</f>
        <v>14</v>
      </c>
    </row>
    <row r="185" spans="10:11" x14ac:dyDescent="0.45">
      <c r="J185">
        <v>910</v>
      </c>
      <c r="K185">
        <f>INDEX(D:D,MATCH(J185,B:B,1))</f>
        <v>14</v>
      </c>
    </row>
    <row r="186" spans="10:11" x14ac:dyDescent="0.45">
      <c r="J186">
        <v>915</v>
      </c>
      <c r="K186">
        <f>INDEX(D:D,MATCH(J186,B:B,1))</f>
        <v>14</v>
      </c>
    </row>
    <row r="187" spans="10:11" x14ac:dyDescent="0.45">
      <c r="J187">
        <v>920</v>
      </c>
      <c r="K187">
        <f>INDEX(D:D,MATCH(J187,B:B,1))</f>
        <v>14</v>
      </c>
    </row>
    <row r="188" spans="10:11" x14ac:dyDescent="0.45">
      <c r="J188">
        <v>925</v>
      </c>
      <c r="K188">
        <f>INDEX(D:D,MATCH(J188,B:B,1))</f>
        <v>14</v>
      </c>
    </row>
    <row r="189" spans="10:11" x14ac:dyDescent="0.45">
      <c r="J189">
        <v>930</v>
      </c>
      <c r="K189">
        <f>INDEX(D:D,MATCH(J189,B:B,1))</f>
        <v>16</v>
      </c>
    </row>
    <row r="190" spans="10:11" x14ac:dyDescent="0.45">
      <c r="J190">
        <v>935</v>
      </c>
      <c r="K190">
        <f>INDEX(D:D,MATCH(J190,B:B,1))</f>
        <v>16</v>
      </c>
    </row>
    <row r="191" spans="10:11" x14ac:dyDescent="0.45">
      <c r="J191">
        <v>940</v>
      </c>
      <c r="K191">
        <f>INDEX(D:D,MATCH(J191,B:B,1))</f>
        <v>16</v>
      </c>
    </row>
    <row r="192" spans="10:11" x14ac:dyDescent="0.45">
      <c r="J192">
        <v>945</v>
      </c>
      <c r="K192">
        <f>INDEX(D:D,MATCH(J192,B:B,1))</f>
        <v>16</v>
      </c>
    </row>
    <row r="193" spans="10:11" x14ac:dyDescent="0.45">
      <c r="J193">
        <v>950</v>
      </c>
      <c r="K193">
        <f>INDEX(D:D,MATCH(J193,B:B,1))</f>
        <v>16</v>
      </c>
    </row>
    <row r="194" spans="10:11" x14ac:dyDescent="0.45">
      <c r="J194">
        <v>955</v>
      </c>
      <c r="K194">
        <f>INDEX(D:D,MATCH(J194,B:B,1))</f>
        <v>16</v>
      </c>
    </row>
    <row r="195" spans="10:11" x14ac:dyDescent="0.45">
      <c r="J195">
        <v>960</v>
      </c>
      <c r="K195">
        <f>INDEX(D:D,MATCH(J195,B:B,1))</f>
        <v>16</v>
      </c>
    </row>
    <row r="196" spans="10:11" x14ac:dyDescent="0.45">
      <c r="J196">
        <v>965</v>
      </c>
      <c r="K196">
        <f>INDEX(D:D,MATCH(J196,B:B,1))</f>
        <v>16</v>
      </c>
    </row>
    <row r="197" spans="10:11" x14ac:dyDescent="0.45">
      <c r="J197">
        <v>970</v>
      </c>
      <c r="K197">
        <f>INDEX(D:D,MATCH(J197,B:B,1))</f>
        <v>16</v>
      </c>
    </row>
    <row r="198" spans="10:11" x14ac:dyDescent="0.45">
      <c r="J198">
        <v>975</v>
      </c>
      <c r="K198">
        <f>INDEX(D:D,MATCH(J198,B:B,1))</f>
        <v>16</v>
      </c>
    </row>
    <row r="199" spans="10:11" x14ac:dyDescent="0.45">
      <c r="J199">
        <v>980</v>
      </c>
      <c r="K199">
        <f>INDEX(D:D,MATCH(J199,B:B,1))</f>
        <v>16</v>
      </c>
    </row>
    <row r="200" spans="10:11" x14ac:dyDescent="0.45">
      <c r="J200">
        <v>985</v>
      </c>
      <c r="K200">
        <f>INDEX(D:D,MATCH(J200,B:B,1))</f>
        <v>16</v>
      </c>
    </row>
    <row r="201" spans="10:11" x14ac:dyDescent="0.45">
      <c r="J201">
        <v>990</v>
      </c>
      <c r="K201">
        <f>INDEX(D:D,MATCH(J201,B:B,1))</f>
        <v>16</v>
      </c>
    </row>
    <row r="202" spans="10:11" x14ac:dyDescent="0.45">
      <c r="J202">
        <v>995</v>
      </c>
      <c r="K202">
        <f>INDEX(D:D,MATCH(J202,B:B,1))</f>
        <v>16</v>
      </c>
    </row>
    <row r="203" spans="10:11" x14ac:dyDescent="0.45">
      <c r="J203">
        <v>1000</v>
      </c>
      <c r="K203">
        <f>INDEX(D:D,MATCH(J203,B:B,1))</f>
        <v>16</v>
      </c>
    </row>
    <row r="204" spans="10:11" x14ac:dyDescent="0.45">
      <c r="J204">
        <v>1005</v>
      </c>
      <c r="K204">
        <f>INDEX(D:D,MATCH(J204,B:B,1))</f>
        <v>16</v>
      </c>
    </row>
    <row r="205" spans="10:11" x14ac:dyDescent="0.45">
      <c r="J205">
        <v>1010</v>
      </c>
      <c r="K205">
        <f>INDEX(D:D,MATCH(J205,B:B,1))</f>
        <v>16</v>
      </c>
    </row>
    <row r="206" spans="10:11" x14ac:dyDescent="0.45">
      <c r="J206">
        <v>1015</v>
      </c>
      <c r="K206">
        <f>INDEX(D:D,MATCH(J206,B:B,1))</f>
        <v>16</v>
      </c>
    </row>
    <row r="207" spans="10:11" x14ac:dyDescent="0.45">
      <c r="J207">
        <v>1020</v>
      </c>
      <c r="K207">
        <f>INDEX(D:D,MATCH(J207,B:B,1))</f>
        <v>16</v>
      </c>
    </row>
    <row r="208" spans="10:11" x14ac:dyDescent="0.45">
      <c r="J208">
        <v>1025</v>
      </c>
      <c r="K208">
        <f>INDEX(D:D,MATCH(J208,B:B,1))</f>
        <v>16</v>
      </c>
    </row>
    <row r="209" spans="10:11" x14ac:dyDescent="0.45">
      <c r="J209">
        <v>1030</v>
      </c>
      <c r="K209">
        <f>INDEX(D:D,MATCH(J209,B:B,1))</f>
        <v>16</v>
      </c>
    </row>
    <row r="210" spans="10:11" x14ac:dyDescent="0.45">
      <c r="J210">
        <v>1035</v>
      </c>
      <c r="K210">
        <f>INDEX(D:D,MATCH(J210,B:B,1))</f>
        <v>16</v>
      </c>
    </row>
    <row r="211" spans="10:11" x14ac:dyDescent="0.45">
      <c r="J211">
        <v>1040</v>
      </c>
      <c r="K211">
        <f>INDEX(D:D,MATCH(J211,B:B,1))</f>
        <v>16</v>
      </c>
    </row>
    <row r="212" spans="10:11" x14ac:dyDescent="0.45">
      <c r="J212">
        <v>1045</v>
      </c>
      <c r="K212">
        <f>INDEX(D:D,MATCH(J212,B:B,1))</f>
        <v>16</v>
      </c>
    </row>
    <row r="213" spans="10:11" x14ac:dyDescent="0.45">
      <c r="J213">
        <v>1050</v>
      </c>
      <c r="K213">
        <f>INDEX(D:D,MATCH(J213,B:B,1))</f>
        <v>18</v>
      </c>
    </row>
    <row r="214" spans="10:11" x14ac:dyDescent="0.45">
      <c r="J214">
        <v>1055</v>
      </c>
      <c r="K214">
        <f>INDEX(D:D,MATCH(J214,B:B,1))</f>
        <v>18</v>
      </c>
    </row>
    <row r="215" spans="10:11" x14ac:dyDescent="0.45">
      <c r="J215">
        <v>1060</v>
      </c>
      <c r="K215">
        <f>INDEX(D:D,MATCH(J215,B:B,1))</f>
        <v>18</v>
      </c>
    </row>
    <row r="216" spans="10:11" x14ac:dyDescent="0.45">
      <c r="J216">
        <v>1065</v>
      </c>
      <c r="K216">
        <f>INDEX(D:D,MATCH(J216,B:B,1))</f>
        <v>18</v>
      </c>
    </row>
    <row r="217" spans="10:11" x14ac:dyDescent="0.45">
      <c r="J217">
        <v>1070</v>
      </c>
      <c r="K217">
        <f>INDEX(D:D,MATCH(J217,B:B,1))</f>
        <v>18</v>
      </c>
    </row>
    <row r="218" spans="10:11" x14ac:dyDescent="0.45">
      <c r="J218">
        <v>1075</v>
      </c>
      <c r="K218">
        <f>INDEX(D:D,MATCH(J218,B:B,1))</f>
        <v>18</v>
      </c>
    </row>
    <row r="219" spans="10:11" x14ac:dyDescent="0.45">
      <c r="J219">
        <v>1080</v>
      </c>
      <c r="K219">
        <f>INDEX(D:D,MATCH(J219,B:B,1))</f>
        <v>18</v>
      </c>
    </row>
    <row r="220" spans="10:11" x14ac:dyDescent="0.45">
      <c r="J220">
        <v>1085</v>
      </c>
      <c r="K220">
        <f>INDEX(D:D,MATCH(J220,B:B,1))</f>
        <v>18</v>
      </c>
    </row>
    <row r="221" spans="10:11" x14ac:dyDescent="0.45">
      <c r="J221">
        <v>1090</v>
      </c>
      <c r="K221">
        <f>INDEX(D:D,MATCH(J221,B:B,1))</f>
        <v>18</v>
      </c>
    </row>
    <row r="222" spans="10:11" x14ac:dyDescent="0.45">
      <c r="J222">
        <v>1095</v>
      </c>
      <c r="K222">
        <f>INDEX(D:D,MATCH(J222,B:B,1))</f>
        <v>18</v>
      </c>
    </row>
    <row r="223" spans="10:11" x14ac:dyDescent="0.45">
      <c r="J223">
        <v>1100</v>
      </c>
      <c r="K223">
        <f>INDEX(D:D,MATCH(J223,B:B,1))</f>
        <v>18</v>
      </c>
    </row>
    <row r="224" spans="10:11" x14ac:dyDescent="0.45">
      <c r="J224">
        <v>1105</v>
      </c>
      <c r="K224">
        <f>INDEX(D:D,MATCH(J224,B:B,1))</f>
        <v>18</v>
      </c>
    </row>
    <row r="225" spans="10:11" x14ac:dyDescent="0.45">
      <c r="J225">
        <v>1110</v>
      </c>
      <c r="K225">
        <f>INDEX(D:D,MATCH(J225,B:B,1))</f>
        <v>18</v>
      </c>
    </row>
    <row r="226" spans="10:11" x14ac:dyDescent="0.45">
      <c r="J226">
        <v>1115</v>
      </c>
      <c r="K226">
        <f>INDEX(D:D,MATCH(J226,B:B,1))</f>
        <v>18</v>
      </c>
    </row>
    <row r="227" spans="10:11" x14ac:dyDescent="0.45">
      <c r="J227">
        <v>1120</v>
      </c>
      <c r="K227">
        <f>INDEX(D:D,MATCH(J227,B:B,1))</f>
        <v>18</v>
      </c>
    </row>
    <row r="228" spans="10:11" x14ac:dyDescent="0.45">
      <c r="J228">
        <v>1125</v>
      </c>
      <c r="K228">
        <f>INDEX(D:D,MATCH(J228,B:B,1))</f>
        <v>18</v>
      </c>
    </row>
    <row r="229" spans="10:11" x14ac:dyDescent="0.45">
      <c r="J229">
        <v>1130</v>
      </c>
      <c r="K229">
        <f>INDEX(D:D,MATCH(J229,B:B,1))</f>
        <v>18</v>
      </c>
    </row>
    <row r="230" spans="10:11" x14ac:dyDescent="0.45">
      <c r="J230">
        <v>1135</v>
      </c>
      <c r="K230">
        <f>INDEX(D:D,MATCH(J230,B:B,1))</f>
        <v>18</v>
      </c>
    </row>
    <row r="231" spans="10:11" x14ac:dyDescent="0.45">
      <c r="J231">
        <v>1140</v>
      </c>
      <c r="K231">
        <f>INDEX(D:D,MATCH(J231,B:B,1))</f>
        <v>18</v>
      </c>
    </row>
    <row r="232" spans="10:11" x14ac:dyDescent="0.45">
      <c r="J232">
        <v>1145</v>
      </c>
      <c r="K232">
        <f>INDEX(D:D,MATCH(J232,B:B,1))</f>
        <v>18</v>
      </c>
    </row>
    <row r="233" spans="10:11" x14ac:dyDescent="0.45">
      <c r="J233">
        <v>1150</v>
      </c>
      <c r="K233">
        <f>INDEX(D:D,MATCH(J233,B:B,1))</f>
        <v>18</v>
      </c>
    </row>
    <row r="234" spans="10:11" x14ac:dyDescent="0.45">
      <c r="J234">
        <v>1155</v>
      </c>
      <c r="K234">
        <f>INDEX(D:D,MATCH(J234,B:B,1))</f>
        <v>18</v>
      </c>
    </row>
    <row r="235" spans="10:11" x14ac:dyDescent="0.45">
      <c r="J235">
        <v>1160</v>
      </c>
      <c r="K235">
        <f>INDEX(D:D,MATCH(J235,B:B,1))</f>
        <v>18</v>
      </c>
    </row>
    <row r="236" spans="10:11" x14ac:dyDescent="0.45">
      <c r="J236">
        <v>1165</v>
      </c>
      <c r="K236">
        <f>INDEX(D:D,MATCH(J236,B:B,1))</f>
        <v>18</v>
      </c>
    </row>
    <row r="237" spans="10:11" x14ac:dyDescent="0.45">
      <c r="J237">
        <v>1170</v>
      </c>
      <c r="K237">
        <f>INDEX(D:D,MATCH(J237,B:B,1))</f>
        <v>20</v>
      </c>
    </row>
    <row r="238" spans="10:11" x14ac:dyDescent="0.45">
      <c r="J238">
        <v>1175</v>
      </c>
      <c r="K238">
        <f>INDEX(D:D,MATCH(J238,B:B,1))</f>
        <v>20</v>
      </c>
    </row>
    <row r="239" spans="10:11" x14ac:dyDescent="0.45">
      <c r="J239">
        <v>1180</v>
      </c>
      <c r="K239">
        <f>INDEX(D:D,MATCH(J239,B:B,1))</f>
        <v>20</v>
      </c>
    </row>
    <row r="240" spans="10:11" x14ac:dyDescent="0.45">
      <c r="J240">
        <v>1185</v>
      </c>
      <c r="K240">
        <f>INDEX(D:D,MATCH(J240,B:B,1))</f>
        <v>20</v>
      </c>
    </row>
    <row r="241" spans="10:11" x14ac:dyDescent="0.45">
      <c r="J241">
        <v>1190</v>
      </c>
      <c r="K241">
        <f>INDEX(D:D,MATCH(J241,B:B,1))</f>
        <v>20</v>
      </c>
    </row>
    <row r="242" spans="10:11" x14ac:dyDescent="0.45">
      <c r="J242">
        <v>1195</v>
      </c>
      <c r="K242">
        <f>INDEX(D:D,MATCH(J242,B:B,1))</f>
        <v>20</v>
      </c>
    </row>
    <row r="243" spans="10:11" x14ac:dyDescent="0.45">
      <c r="J243">
        <v>1200</v>
      </c>
      <c r="K243">
        <f>INDEX(D:D,MATCH(J243,B:B,1))</f>
        <v>20</v>
      </c>
    </row>
    <row r="244" spans="10:11" x14ac:dyDescent="0.45">
      <c r="J244">
        <v>1205</v>
      </c>
      <c r="K244">
        <f>INDEX(D:D,MATCH(J244,B:B,1))</f>
        <v>20</v>
      </c>
    </row>
    <row r="245" spans="10:11" x14ac:dyDescent="0.45">
      <c r="J245">
        <v>1210</v>
      </c>
      <c r="K245">
        <f>INDEX(D:D,MATCH(J245,B:B,1))</f>
        <v>20</v>
      </c>
    </row>
    <row r="246" spans="10:11" x14ac:dyDescent="0.45">
      <c r="J246">
        <v>1215</v>
      </c>
      <c r="K246">
        <f>INDEX(D:D,MATCH(J246,B:B,1))</f>
        <v>20</v>
      </c>
    </row>
    <row r="247" spans="10:11" x14ac:dyDescent="0.45">
      <c r="J247">
        <v>1220</v>
      </c>
      <c r="K247">
        <f>INDEX(D:D,MATCH(J247,B:B,1))</f>
        <v>20</v>
      </c>
    </row>
    <row r="248" spans="10:11" x14ac:dyDescent="0.45">
      <c r="J248">
        <v>1225</v>
      </c>
      <c r="K248">
        <f>INDEX(D:D,MATCH(J248,B:B,1))</f>
        <v>20</v>
      </c>
    </row>
    <row r="249" spans="10:11" x14ac:dyDescent="0.45">
      <c r="J249">
        <v>1230</v>
      </c>
      <c r="K249">
        <f>INDEX(D:D,MATCH(J249,B:B,1))</f>
        <v>20</v>
      </c>
    </row>
    <row r="250" spans="10:11" x14ac:dyDescent="0.45">
      <c r="J250">
        <v>1235</v>
      </c>
      <c r="K250">
        <f>INDEX(D:D,MATCH(J250,B:B,1))</f>
        <v>20</v>
      </c>
    </row>
    <row r="251" spans="10:11" x14ac:dyDescent="0.45">
      <c r="J251">
        <v>1240</v>
      </c>
      <c r="K251">
        <f>INDEX(D:D,MATCH(J251,B:B,1))</f>
        <v>20</v>
      </c>
    </row>
    <row r="252" spans="10:11" x14ac:dyDescent="0.45">
      <c r="J252">
        <v>1245</v>
      </c>
      <c r="K252">
        <f>INDEX(D:D,MATCH(J252,B:B,1))</f>
        <v>20</v>
      </c>
    </row>
    <row r="253" spans="10:11" x14ac:dyDescent="0.45">
      <c r="J253">
        <v>1250</v>
      </c>
      <c r="K253">
        <f>INDEX(D:D,MATCH(J253,B:B,1))</f>
        <v>20</v>
      </c>
    </row>
    <row r="254" spans="10:11" x14ac:dyDescent="0.45">
      <c r="J254">
        <v>1255</v>
      </c>
      <c r="K254">
        <f>INDEX(D:D,MATCH(J254,B:B,1))</f>
        <v>20</v>
      </c>
    </row>
    <row r="255" spans="10:11" x14ac:dyDescent="0.45">
      <c r="J255">
        <v>1260</v>
      </c>
      <c r="K255">
        <f>INDEX(D:D,MATCH(J255,B:B,1))</f>
        <v>20</v>
      </c>
    </row>
    <row r="256" spans="10:11" x14ac:dyDescent="0.45">
      <c r="J256">
        <v>1265</v>
      </c>
      <c r="K256">
        <f>INDEX(D:D,MATCH(J256,B:B,1))</f>
        <v>20</v>
      </c>
    </row>
    <row r="257" spans="10:11" x14ac:dyDescent="0.45">
      <c r="J257">
        <v>1270</v>
      </c>
      <c r="K257">
        <f>INDEX(D:D,MATCH(J257,B:B,1))</f>
        <v>20</v>
      </c>
    </row>
    <row r="258" spans="10:11" x14ac:dyDescent="0.45">
      <c r="J258">
        <v>1275</v>
      </c>
      <c r="K258">
        <f>INDEX(D:D,MATCH(J258,B:B,1))</f>
        <v>20</v>
      </c>
    </row>
    <row r="259" spans="10:11" x14ac:dyDescent="0.45">
      <c r="J259">
        <v>1280</v>
      </c>
      <c r="K259">
        <f>INDEX(D:D,MATCH(J259,B:B,1))</f>
        <v>20</v>
      </c>
    </row>
    <row r="260" spans="10:11" x14ac:dyDescent="0.45">
      <c r="J260">
        <v>1285</v>
      </c>
      <c r="K260">
        <f>INDEX(D:D,MATCH(J260,B:B,1))</f>
        <v>20</v>
      </c>
    </row>
    <row r="261" spans="10:11" x14ac:dyDescent="0.45">
      <c r="J261">
        <v>1290</v>
      </c>
      <c r="K261">
        <f>INDEX(D:D,MATCH(J261,B:B,1))</f>
        <v>20</v>
      </c>
    </row>
    <row r="262" spans="10:11" x14ac:dyDescent="0.45">
      <c r="J262">
        <v>1295</v>
      </c>
      <c r="K262">
        <f>INDEX(D:D,MATCH(J262,B:B,1))</f>
        <v>20</v>
      </c>
    </row>
    <row r="263" spans="10:11" x14ac:dyDescent="0.45">
      <c r="J263">
        <v>1300</v>
      </c>
      <c r="K263">
        <f>INDEX(D:D,MATCH(J263,B:B,1))</f>
        <v>20</v>
      </c>
    </row>
    <row r="264" spans="10:11" x14ac:dyDescent="0.45">
      <c r="J264">
        <v>1305</v>
      </c>
      <c r="K264">
        <f>INDEX(D:D,MATCH(J264,B:B,1))</f>
        <v>20</v>
      </c>
    </row>
    <row r="265" spans="10:11" x14ac:dyDescent="0.45">
      <c r="J265">
        <v>1310</v>
      </c>
      <c r="K265">
        <f>INDEX(D:D,MATCH(J265,B:B,1))</f>
        <v>20</v>
      </c>
    </row>
    <row r="266" spans="10:11" x14ac:dyDescent="0.45">
      <c r="J266">
        <v>1315</v>
      </c>
      <c r="K266">
        <f>INDEX(D:D,MATCH(J266,B:B,1))</f>
        <v>20</v>
      </c>
    </row>
    <row r="267" spans="10:11" x14ac:dyDescent="0.45">
      <c r="J267">
        <v>1320</v>
      </c>
      <c r="K267">
        <f>INDEX(D:D,MATCH(J267,B:B,1))</f>
        <v>20</v>
      </c>
    </row>
    <row r="268" spans="10:11" x14ac:dyDescent="0.45">
      <c r="J268">
        <v>1325</v>
      </c>
      <c r="K268">
        <f>INDEX(D:D,MATCH(J268,B:B,1))</f>
        <v>20</v>
      </c>
    </row>
    <row r="269" spans="10:11" x14ac:dyDescent="0.45">
      <c r="J269">
        <v>1330</v>
      </c>
      <c r="K269">
        <f>INDEX(D:D,MATCH(J269,B:B,1))</f>
        <v>20</v>
      </c>
    </row>
    <row r="270" spans="10:11" x14ac:dyDescent="0.45">
      <c r="J270">
        <v>1335</v>
      </c>
      <c r="K270">
        <f>INDEX(D:D,MATCH(J270,B:B,1))</f>
        <v>20</v>
      </c>
    </row>
    <row r="271" spans="10:11" x14ac:dyDescent="0.45">
      <c r="J271">
        <v>1340</v>
      </c>
      <c r="K271">
        <f>INDEX(D:D,MATCH(J271,B:B,1))</f>
        <v>20</v>
      </c>
    </row>
    <row r="272" spans="10:11" x14ac:dyDescent="0.45">
      <c r="J272">
        <v>1345</v>
      </c>
      <c r="K272">
        <f>INDEX(D:D,MATCH(J272,B:B,1))</f>
        <v>20</v>
      </c>
    </row>
    <row r="273" spans="10:11" x14ac:dyDescent="0.45">
      <c r="J273">
        <v>1350</v>
      </c>
      <c r="K273">
        <f>INDEX(D:D,MATCH(J273,B:B,1))</f>
        <v>20</v>
      </c>
    </row>
    <row r="274" spans="10:11" x14ac:dyDescent="0.45">
      <c r="J274">
        <v>1355</v>
      </c>
      <c r="K274">
        <f>INDEX(D:D,MATCH(J274,B:B,1))</f>
        <v>20</v>
      </c>
    </row>
    <row r="275" spans="10:11" x14ac:dyDescent="0.45">
      <c r="J275">
        <v>1360</v>
      </c>
      <c r="K275">
        <f>INDEX(D:D,MATCH(J275,B:B,1))</f>
        <v>20</v>
      </c>
    </row>
    <row r="276" spans="10:11" x14ac:dyDescent="0.45">
      <c r="J276">
        <v>1365</v>
      </c>
      <c r="K276">
        <f>INDEX(D:D,MATCH(J276,B:B,1))</f>
        <v>20</v>
      </c>
    </row>
    <row r="277" spans="10:11" x14ac:dyDescent="0.45">
      <c r="J277">
        <v>1370</v>
      </c>
      <c r="K277">
        <f>INDEX(D:D,MATCH(J277,B:B,1))</f>
        <v>20</v>
      </c>
    </row>
    <row r="278" spans="10:11" x14ac:dyDescent="0.45">
      <c r="J278">
        <v>1375</v>
      </c>
      <c r="K278">
        <f>INDEX(D:D,MATCH(J278,B:B,1))</f>
        <v>20</v>
      </c>
    </row>
    <row r="279" spans="10:11" x14ac:dyDescent="0.45">
      <c r="J279">
        <v>1380</v>
      </c>
      <c r="K279">
        <f>INDEX(D:D,MATCH(J279,B:B,1))</f>
        <v>20</v>
      </c>
    </row>
    <row r="280" spans="10:11" x14ac:dyDescent="0.45">
      <c r="J280">
        <v>1385</v>
      </c>
      <c r="K280">
        <f>INDEX(D:D,MATCH(J280,B:B,1))</f>
        <v>20</v>
      </c>
    </row>
    <row r="281" spans="10:11" x14ac:dyDescent="0.45">
      <c r="J281">
        <v>1390</v>
      </c>
      <c r="K281">
        <f>INDEX(D:D,MATCH(J281,B:B,1))</f>
        <v>20</v>
      </c>
    </row>
    <row r="282" spans="10:11" x14ac:dyDescent="0.45">
      <c r="J282">
        <v>1395</v>
      </c>
      <c r="K282">
        <f>INDEX(D:D,MATCH(J282,B:B,1))</f>
        <v>20</v>
      </c>
    </row>
    <row r="283" spans="10:11" x14ac:dyDescent="0.45">
      <c r="J283">
        <v>1400</v>
      </c>
      <c r="K283">
        <f>INDEX(D:D,MATCH(J283,B:B,1))</f>
        <v>20</v>
      </c>
    </row>
    <row r="284" spans="10:11" x14ac:dyDescent="0.45">
      <c r="J284">
        <v>1405</v>
      </c>
      <c r="K284">
        <f>INDEX(D:D,MATCH(J284,B:B,1))</f>
        <v>20</v>
      </c>
    </row>
    <row r="285" spans="10:11" x14ac:dyDescent="0.45">
      <c r="J285">
        <v>1410</v>
      </c>
      <c r="K285">
        <f>INDEX(D:D,MATCH(J285,B:B,1))</f>
        <v>20</v>
      </c>
    </row>
    <row r="286" spans="10:11" x14ac:dyDescent="0.45">
      <c r="J286">
        <v>1415</v>
      </c>
      <c r="K286">
        <f>INDEX(D:D,MATCH(J286,B:B,1))</f>
        <v>20</v>
      </c>
    </row>
    <row r="287" spans="10:11" x14ac:dyDescent="0.45">
      <c r="J287">
        <v>1420</v>
      </c>
      <c r="K287">
        <f>INDEX(D:D,MATCH(J287,B:B,1))</f>
        <v>20</v>
      </c>
    </row>
    <row r="288" spans="10:11" x14ac:dyDescent="0.45">
      <c r="J288">
        <v>1425</v>
      </c>
      <c r="K288">
        <f>INDEX(D:D,MATCH(J288,B:B,1))</f>
        <v>20</v>
      </c>
    </row>
    <row r="289" spans="10:11" x14ac:dyDescent="0.45">
      <c r="J289">
        <v>1430</v>
      </c>
      <c r="K289">
        <f>INDEX(D:D,MATCH(J289,B:B,1))</f>
        <v>20</v>
      </c>
    </row>
    <row r="290" spans="10:11" x14ac:dyDescent="0.45">
      <c r="J290">
        <v>1435</v>
      </c>
      <c r="K290">
        <f>INDEX(D:D,MATCH(J290,B:B,1))</f>
        <v>20</v>
      </c>
    </row>
    <row r="291" spans="10:11" x14ac:dyDescent="0.45">
      <c r="J291">
        <v>1440</v>
      </c>
      <c r="K291">
        <f>INDEX(D:D,MATCH(J291,B:B,1))</f>
        <v>20</v>
      </c>
    </row>
    <row r="292" spans="10:11" x14ac:dyDescent="0.45">
      <c r="J292">
        <v>1445</v>
      </c>
      <c r="K292">
        <f>INDEX(D:D,MATCH(J292,B:B,1))</f>
        <v>20</v>
      </c>
    </row>
    <row r="293" spans="10:11" x14ac:dyDescent="0.45">
      <c r="J293">
        <v>1450</v>
      </c>
      <c r="K293">
        <f>INDEX(D:D,MATCH(J293,B:B,1))</f>
        <v>20</v>
      </c>
    </row>
    <row r="294" spans="10:11" x14ac:dyDescent="0.45">
      <c r="J294">
        <v>1455</v>
      </c>
      <c r="K294">
        <f>INDEX(D:D,MATCH(J294,B:B,1))</f>
        <v>20</v>
      </c>
    </row>
    <row r="295" spans="10:11" x14ac:dyDescent="0.45">
      <c r="J295">
        <v>1460</v>
      </c>
      <c r="K295">
        <f>INDEX(D:D,MATCH(J295,B:B,1))</f>
        <v>20</v>
      </c>
    </row>
    <row r="296" spans="10:11" x14ac:dyDescent="0.45">
      <c r="J296">
        <v>1465</v>
      </c>
      <c r="K296">
        <f>INDEX(D:D,MATCH(J296,B:B,1))</f>
        <v>20</v>
      </c>
    </row>
    <row r="297" spans="10:11" x14ac:dyDescent="0.45">
      <c r="J297">
        <v>1470</v>
      </c>
      <c r="K297">
        <f>INDEX(D:D,MATCH(J297,B:B,1))</f>
        <v>25</v>
      </c>
    </row>
    <row r="298" spans="10:11" x14ac:dyDescent="0.45">
      <c r="J298">
        <v>1475</v>
      </c>
      <c r="K298">
        <f>INDEX(D:D,MATCH(J298,B:B,1))</f>
        <v>25</v>
      </c>
    </row>
    <row r="299" spans="10:11" x14ac:dyDescent="0.45">
      <c r="J299">
        <v>1480</v>
      </c>
      <c r="K299">
        <f>INDEX(D:D,MATCH(J299,B:B,1))</f>
        <v>25</v>
      </c>
    </row>
    <row r="300" spans="10:11" x14ac:dyDescent="0.45">
      <c r="J300">
        <v>1485</v>
      </c>
      <c r="K300">
        <f>INDEX(D:D,MATCH(J300,B:B,1))</f>
        <v>25</v>
      </c>
    </row>
    <row r="301" spans="10:11" x14ac:dyDescent="0.45">
      <c r="J301">
        <v>1490</v>
      </c>
      <c r="K301">
        <f>INDEX(D:D,MATCH(J301,B:B,1))</f>
        <v>25</v>
      </c>
    </row>
    <row r="302" spans="10:11" x14ac:dyDescent="0.45">
      <c r="J302">
        <v>1495</v>
      </c>
      <c r="K302">
        <f>INDEX(D:D,MATCH(J302,B:B,1))</f>
        <v>25</v>
      </c>
    </row>
    <row r="303" spans="10:11" x14ac:dyDescent="0.45">
      <c r="J303">
        <v>1500</v>
      </c>
      <c r="K303">
        <f>INDEX(D:D,MATCH(J303,B:B,1))</f>
        <v>25</v>
      </c>
    </row>
    <row r="304" spans="10:11" x14ac:dyDescent="0.45">
      <c r="J304">
        <v>1505</v>
      </c>
      <c r="K304">
        <f>INDEX(D:D,MATCH(J304,B:B,1))</f>
        <v>25</v>
      </c>
    </row>
    <row r="305" spans="10:11" x14ac:dyDescent="0.45">
      <c r="J305">
        <v>1510</v>
      </c>
      <c r="K305">
        <f>INDEX(D:D,MATCH(J305,B:B,1))</f>
        <v>25</v>
      </c>
    </row>
    <row r="306" spans="10:11" x14ac:dyDescent="0.45">
      <c r="J306">
        <v>1515</v>
      </c>
      <c r="K306">
        <f>INDEX(D:D,MATCH(J306,B:B,1))</f>
        <v>25</v>
      </c>
    </row>
    <row r="307" spans="10:11" x14ac:dyDescent="0.45">
      <c r="J307">
        <v>1520</v>
      </c>
      <c r="K307">
        <f>INDEX(D:D,MATCH(J307,B:B,1))</f>
        <v>25</v>
      </c>
    </row>
    <row r="308" spans="10:11" x14ac:dyDescent="0.45">
      <c r="J308">
        <v>1525</v>
      </c>
      <c r="K308">
        <f>INDEX(D:D,MATCH(J308,B:B,1))</f>
        <v>25</v>
      </c>
    </row>
    <row r="309" spans="10:11" x14ac:dyDescent="0.45">
      <c r="J309">
        <v>1530</v>
      </c>
      <c r="K309">
        <f>INDEX(D:D,MATCH(J309,B:B,1))</f>
        <v>25</v>
      </c>
    </row>
    <row r="310" spans="10:11" x14ac:dyDescent="0.45">
      <c r="J310">
        <v>1535</v>
      </c>
      <c r="K310">
        <f>INDEX(D:D,MATCH(J310,B:B,1))</f>
        <v>25</v>
      </c>
    </row>
    <row r="311" spans="10:11" x14ac:dyDescent="0.45">
      <c r="J311">
        <v>1540</v>
      </c>
      <c r="K311">
        <f>INDEX(D:D,MATCH(J311,B:B,1))</f>
        <v>25</v>
      </c>
    </row>
    <row r="312" spans="10:11" x14ac:dyDescent="0.45">
      <c r="J312">
        <v>1545</v>
      </c>
      <c r="K312">
        <f>INDEX(D:D,MATCH(J312,B:B,1))</f>
        <v>25</v>
      </c>
    </row>
    <row r="313" spans="10:11" x14ac:dyDescent="0.45">
      <c r="J313">
        <v>1550</v>
      </c>
      <c r="K313">
        <f>INDEX(D:D,MATCH(J313,B:B,1))</f>
        <v>25</v>
      </c>
    </row>
    <row r="314" spans="10:11" x14ac:dyDescent="0.45">
      <c r="J314">
        <v>1555</v>
      </c>
      <c r="K314">
        <f>INDEX(D:D,MATCH(J314,B:B,1))</f>
        <v>25</v>
      </c>
    </row>
    <row r="315" spans="10:11" x14ac:dyDescent="0.45">
      <c r="J315">
        <v>1560</v>
      </c>
      <c r="K315">
        <f>INDEX(D:D,MATCH(J315,B:B,1))</f>
        <v>25</v>
      </c>
    </row>
    <row r="316" spans="10:11" x14ac:dyDescent="0.45">
      <c r="J316">
        <v>1565</v>
      </c>
      <c r="K316">
        <f>INDEX(D:D,MATCH(J316,B:B,1))</f>
        <v>25</v>
      </c>
    </row>
    <row r="317" spans="10:11" x14ac:dyDescent="0.45">
      <c r="J317">
        <v>1570</v>
      </c>
      <c r="K317">
        <f>INDEX(D:D,MATCH(J317,B:B,1))</f>
        <v>25</v>
      </c>
    </row>
    <row r="318" spans="10:11" x14ac:dyDescent="0.45">
      <c r="J318">
        <v>1575</v>
      </c>
      <c r="K318">
        <f>INDEX(D:D,MATCH(J318,B:B,1))</f>
        <v>25</v>
      </c>
    </row>
    <row r="319" spans="10:11" x14ac:dyDescent="0.45">
      <c r="J319">
        <v>1580</v>
      </c>
      <c r="K319">
        <f>INDEX(D:D,MATCH(J319,B:B,1))</f>
        <v>25</v>
      </c>
    </row>
    <row r="320" spans="10:11" x14ac:dyDescent="0.45">
      <c r="J320">
        <v>1585</v>
      </c>
      <c r="K320">
        <f>INDEX(D:D,MATCH(J320,B:B,1))</f>
        <v>25</v>
      </c>
    </row>
    <row r="321" spans="10:11" x14ac:dyDescent="0.45">
      <c r="J321">
        <v>1590</v>
      </c>
      <c r="K321">
        <f>INDEX(D:D,MATCH(J321,B:B,1))</f>
        <v>25</v>
      </c>
    </row>
    <row r="322" spans="10:11" x14ac:dyDescent="0.45">
      <c r="J322">
        <v>1595</v>
      </c>
      <c r="K322">
        <f>INDEX(D:D,MATCH(J322,B:B,1))</f>
        <v>25</v>
      </c>
    </row>
    <row r="323" spans="10:11" x14ac:dyDescent="0.45">
      <c r="J323">
        <v>1600</v>
      </c>
      <c r="K323">
        <f>INDEX(D:D,MATCH(J323,B:B,1))</f>
        <v>25</v>
      </c>
    </row>
    <row r="324" spans="10:11" x14ac:dyDescent="0.45">
      <c r="J324">
        <v>1605</v>
      </c>
      <c r="K324">
        <f>INDEX(D:D,MATCH(J324,B:B,1))</f>
        <v>25</v>
      </c>
    </row>
    <row r="325" spans="10:11" x14ac:dyDescent="0.45">
      <c r="J325">
        <v>1610</v>
      </c>
      <c r="K325">
        <f>INDEX(D:D,MATCH(J325,B:B,1))</f>
        <v>25</v>
      </c>
    </row>
    <row r="326" spans="10:11" x14ac:dyDescent="0.45">
      <c r="J326">
        <v>1615</v>
      </c>
      <c r="K326">
        <f>INDEX(D:D,MATCH(J326,B:B,1))</f>
        <v>25</v>
      </c>
    </row>
    <row r="327" spans="10:11" x14ac:dyDescent="0.45">
      <c r="J327">
        <v>1620</v>
      </c>
      <c r="K327">
        <f>INDEX(D:D,MATCH(J327,B:B,1))</f>
        <v>25</v>
      </c>
    </row>
    <row r="328" spans="10:11" x14ac:dyDescent="0.45">
      <c r="J328">
        <v>1625</v>
      </c>
      <c r="K328">
        <f>INDEX(D:D,MATCH(J328,B:B,1))</f>
        <v>25</v>
      </c>
    </row>
    <row r="329" spans="10:11" x14ac:dyDescent="0.45">
      <c r="J329">
        <v>1630</v>
      </c>
      <c r="K329">
        <f>INDEX(D:D,MATCH(J329,B:B,1))</f>
        <v>25</v>
      </c>
    </row>
    <row r="330" spans="10:11" x14ac:dyDescent="0.45">
      <c r="J330">
        <v>1635</v>
      </c>
      <c r="K330">
        <f>INDEX(D:D,MATCH(J330,B:B,1))</f>
        <v>25</v>
      </c>
    </row>
    <row r="331" spans="10:11" x14ac:dyDescent="0.45">
      <c r="J331">
        <v>1640</v>
      </c>
      <c r="K331">
        <f>INDEX(D:D,MATCH(J331,B:B,1))</f>
        <v>25</v>
      </c>
    </row>
    <row r="332" spans="10:11" x14ac:dyDescent="0.45">
      <c r="J332">
        <v>1645</v>
      </c>
      <c r="K332">
        <f>INDEX(D:D,MATCH(J332,B:B,1))</f>
        <v>25</v>
      </c>
    </row>
    <row r="333" spans="10:11" x14ac:dyDescent="0.45">
      <c r="J333">
        <v>1650</v>
      </c>
      <c r="K333">
        <f>INDEX(D:D,MATCH(J333,B:B,1))</f>
        <v>25</v>
      </c>
    </row>
    <row r="334" spans="10:11" x14ac:dyDescent="0.45">
      <c r="J334">
        <v>1655</v>
      </c>
      <c r="K334">
        <f>INDEX(D:D,MATCH(J334,B:B,1))</f>
        <v>25</v>
      </c>
    </row>
    <row r="335" spans="10:11" x14ac:dyDescent="0.45">
      <c r="J335">
        <v>1660</v>
      </c>
      <c r="K335">
        <f>INDEX(D:D,MATCH(J335,B:B,1))</f>
        <v>25</v>
      </c>
    </row>
    <row r="336" spans="10:11" x14ac:dyDescent="0.45">
      <c r="J336">
        <v>1665</v>
      </c>
      <c r="K336">
        <f>INDEX(D:D,MATCH(J336,B:B,1))</f>
        <v>25</v>
      </c>
    </row>
    <row r="337" spans="10:11" x14ac:dyDescent="0.45">
      <c r="J337">
        <v>1670</v>
      </c>
      <c r="K337">
        <f>INDEX(D:D,MATCH(J337,B:B,1))</f>
        <v>25</v>
      </c>
    </row>
    <row r="338" spans="10:11" x14ac:dyDescent="0.45">
      <c r="J338">
        <v>1675</v>
      </c>
      <c r="K338">
        <f>INDEX(D:D,MATCH(J338,B:B,1))</f>
        <v>25</v>
      </c>
    </row>
    <row r="339" spans="10:11" x14ac:dyDescent="0.45">
      <c r="J339">
        <v>1680</v>
      </c>
      <c r="K339">
        <f>INDEX(D:D,MATCH(J339,B:B,1))</f>
        <v>25</v>
      </c>
    </row>
    <row r="340" spans="10:11" x14ac:dyDescent="0.45">
      <c r="J340">
        <v>1685</v>
      </c>
      <c r="K340">
        <f>INDEX(D:D,MATCH(J340,B:B,1))</f>
        <v>25</v>
      </c>
    </row>
    <row r="341" spans="10:11" x14ac:dyDescent="0.45">
      <c r="J341">
        <v>1690</v>
      </c>
      <c r="K341">
        <f>INDEX(D:D,MATCH(J341,B:B,1))</f>
        <v>25</v>
      </c>
    </row>
    <row r="342" spans="10:11" x14ac:dyDescent="0.45">
      <c r="J342">
        <v>1695</v>
      </c>
      <c r="K342">
        <f>INDEX(D:D,MATCH(J342,B:B,1))</f>
        <v>25</v>
      </c>
    </row>
    <row r="343" spans="10:11" x14ac:dyDescent="0.45">
      <c r="J343">
        <v>1700</v>
      </c>
      <c r="K343">
        <f>INDEX(D:D,MATCH(J343,B:B,1))</f>
        <v>25</v>
      </c>
    </row>
    <row r="344" spans="10:11" x14ac:dyDescent="0.45">
      <c r="J344">
        <v>1705</v>
      </c>
      <c r="K344">
        <f>INDEX(D:D,MATCH(J344,B:B,1))</f>
        <v>25</v>
      </c>
    </row>
    <row r="345" spans="10:11" x14ac:dyDescent="0.45">
      <c r="J345">
        <v>1710</v>
      </c>
      <c r="K345">
        <f>INDEX(D:D,MATCH(J345,B:B,1))</f>
        <v>25</v>
      </c>
    </row>
    <row r="346" spans="10:11" x14ac:dyDescent="0.45">
      <c r="J346">
        <v>1715</v>
      </c>
      <c r="K346">
        <f>INDEX(D:D,MATCH(J346,B:B,1))</f>
        <v>25</v>
      </c>
    </row>
    <row r="347" spans="10:11" x14ac:dyDescent="0.45">
      <c r="J347">
        <v>1720</v>
      </c>
      <c r="K347">
        <f>INDEX(D:D,MATCH(J347,B:B,1))</f>
        <v>25</v>
      </c>
    </row>
    <row r="348" spans="10:11" x14ac:dyDescent="0.45">
      <c r="J348">
        <v>1725</v>
      </c>
      <c r="K348">
        <f>INDEX(D:D,MATCH(J348,B:B,1))</f>
        <v>25</v>
      </c>
    </row>
    <row r="349" spans="10:11" x14ac:dyDescent="0.45">
      <c r="J349">
        <v>1730</v>
      </c>
      <c r="K349">
        <f>INDEX(D:D,MATCH(J349,B:B,1))</f>
        <v>25</v>
      </c>
    </row>
    <row r="350" spans="10:11" x14ac:dyDescent="0.45">
      <c r="J350">
        <v>1735</v>
      </c>
      <c r="K350">
        <f>INDEX(D:D,MATCH(J350,B:B,1))</f>
        <v>25</v>
      </c>
    </row>
    <row r="351" spans="10:11" x14ac:dyDescent="0.45">
      <c r="J351">
        <v>1740</v>
      </c>
      <c r="K351">
        <f>INDEX(D:D,MATCH(J351,B:B,1))</f>
        <v>25</v>
      </c>
    </row>
    <row r="352" spans="10:11" x14ac:dyDescent="0.45">
      <c r="J352">
        <v>1745</v>
      </c>
      <c r="K352">
        <f>INDEX(D:D,MATCH(J352,B:B,1))</f>
        <v>25</v>
      </c>
    </row>
    <row r="353" spans="10:11" x14ac:dyDescent="0.45">
      <c r="J353">
        <v>1750</v>
      </c>
      <c r="K353">
        <f>INDEX(D:D,MATCH(J353,B:B,1))</f>
        <v>25</v>
      </c>
    </row>
    <row r="354" spans="10:11" x14ac:dyDescent="0.45">
      <c r="J354">
        <v>1755</v>
      </c>
      <c r="K354">
        <f>INDEX(D:D,MATCH(J354,B:B,1))</f>
        <v>25</v>
      </c>
    </row>
    <row r="355" spans="10:11" x14ac:dyDescent="0.45">
      <c r="J355">
        <v>1760</v>
      </c>
      <c r="K355">
        <f>INDEX(D:D,MATCH(J355,B:B,1))</f>
        <v>25</v>
      </c>
    </row>
    <row r="356" spans="10:11" x14ac:dyDescent="0.45">
      <c r="J356">
        <v>1765</v>
      </c>
      <c r="K356">
        <f>INDEX(D:D,MATCH(J356,B:B,1))</f>
        <v>25</v>
      </c>
    </row>
    <row r="357" spans="10:11" x14ac:dyDescent="0.45">
      <c r="J357">
        <v>1770</v>
      </c>
      <c r="K357">
        <f>INDEX(D:D,MATCH(J357,B:B,1))</f>
        <v>30</v>
      </c>
    </row>
    <row r="358" spans="10:11" x14ac:dyDescent="0.45">
      <c r="J358">
        <v>1775</v>
      </c>
      <c r="K358">
        <f>INDEX(D:D,MATCH(J358,B:B,1))</f>
        <v>30</v>
      </c>
    </row>
    <row r="359" spans="10:11" x14ac:dyDescent="0.45">
      <c r="J359">
        <v>1780</v>
      </c>
      <c r="K359">
        <f>INDEX(D:D,MATCH(J359,B:B,1))</f>
        <v>30</v>
      </c>
    </row>
    <row r="360" spans="10:11" x14ac:dyDescent="0.45">
      <c r="J360">
        <v>1785</v>
      </c>
      <c r="K360">
        <f>INDEX(D:D,MATCH(J360,B:B,1))</f>
        <v>30</v>
      </c>
    </row>
    <row r="361" spans="10:11" x14ac:dyDescent="0.45">
      <c r="J361">
        <v>1790</v>
      </c>
      <c r="K361">
        <f>INDEX(D:D,MATCH(J361,B:B,1))</f>
        <v>30</v>
      </c>
    </row>
    <row r="362" spans="10:11" x14ac:dyDescent="0.45">
      <c r="J362">
        <v>1795</v>
      </c>
      <c r="K362">
        <f>INDEX(D:D,MATCH(J362,B:B,1))</f>
        <v>30</v>
      </c>
    </row>
    <row r="363" spans="10:11" x14ac:dyDescent="0.45">
      <c r="J363">
        <v>1800</v>
      </c>
      <c r="K363">
        <f>INDEX(D:D,MATCH(J363,B:B,1))</f>
        <v>30</v>
      </c>
    </row>
    <row r="364" spans="10:11" x14ac:dyDescent="0.45">
      <c r="J364">
        <v>1805</v>
      </c>
      <c r="K364">
        <f>INDEX(D:D,MATCH(J364,B:B,1))</f>
        <v>30</v>
      </c>
    </row>
    <row r="365" spans="10:11" x14ac:dyDescent="0.45">
      <c r="J365">
        <v>1810</v>
      </c>
      <c r="K365">
        <f>INDEX(D:D,MATCH(J365,B:B,1))</f>
        <v>30</v>
      </c>
    </row>
    <row r="366" spans="10:11" x14ac:dyDescent="0.45">
      <c r="J366">
        <v>1815</v>
      </c>
      <c r="K366">
        <f>INDEX(D:D,MATCH(J366,B:B,1))</f>
        <v>30</v>
      </c>
    </row>
    <row r="367" spans="10:11" x14ac:dyDescent="0.45">
      <c r="J367">
        <v>1820</v>
      </c>
      <c r="K367">
        <f>INDEX(D:D,MATCH(J367,B:B,1))</f>
        <v>30</v>
      </c>
    </row>
    <row r="368" spans="10:11" x14ac:dyDescent="0.45">
      <c r="J368">
        <v>1825</v>
      </c>
      <c r="K368">
        <f>INDEX(D:D,MATCH(J368,B:B,1))</f>
        <v>30</v>
      </c>
    </row>
    <row r="369" spans="10:11" x14ac:dyDescent="0.45">
      <c r="J369">
        <v>1830</v>
      </c>
      <c r="K369">
        <f>INDEX(D:D,MATCH(J369,B:B,1))</f>
        <v>30</v>
      </c>
    </row>
    <row r="370" spans="10:11" x14ac:dyDescent="0.45">
      <c r="J370">
        <v>1835</v>
      </c>
      <c r="K370">
        <f>INDEX(D:D,MATCH(J370,B:B,1))</f>
        <v>30</v>
      </c>
    </row>
    <row r="371" spans="10:11" x14ac:dyDescent="0.45">
      <c r="J371">
        <v>1840</v>
      </c>
      <c r="K371">
        <f>INDEX(D:D,MATCH(J371,B:B,1))</f>
        <v>30</v>
      </c>
    </row>
    <row r="372" spans="10:11" x14ac:dyDescent="0.45">
      <c r="J372">
        <v>1845</v>
      </c>
      <c r="K372">
        <f>INDEX(D:D,MATCH(J372,B:B,1))</f>
        <v>30</v>
      </c>
    </row>
    <row r="373" spans="10:11" x14ac:dyDescent="0.45">
      <c r="J373">
        <v>1850</v>
      </c>
      <c r="K373">
        <f>INDEX(D:D,MATCH(J373,B:B,1))</f>
        <v>30</v>
      </c>
    </row>
    <row r="374" spans="10:11" x14ac:dyDescent="0.45">
      <c r="J374">
        <v>1855</v>
      </c>
      <c r="K374">
        <f>INDEX(D:D,MATCH(J374,B:B,1))</f>
        <v>30</v>
      </c>
    </row>
    <row r="375" spans="10:11" x14ac:dyDescent="0.45">
      <c r="J375">
        <v>1860</v>
      </c>
      <c r="K375">
        <f>INDEX(D:D,MATCH(J375,B:B,1))</f>
        <v>30</v>
      </c>
    </row>
    <row r="376" spans="10:11" x14ac:dyDescent="0.45">
      <c r="J376">
        <v>1865</v>
      </c>
      <c r="K376">
        <f>INDEX(D:D,MATCH(J376,B:B,1))</f>
        <v>30</v>
      </c>
    </row>
    <row r="377" spans="10:11" x14ac:dyDescent="0.45">
      <c r="J377">
        <v>1870</v>
      </c>
      <c r="K377">
        <f>INDEX(D:D,MATCH(J377,B:B,1))</f>
        <v>30</v>
      </c>
    </row>
    <row r="378" spans="10:11" x14ac:dyDescent="0.45">
      <c r="J378">
        <v>1875</v>
      </c>
      <c r="K378">
        <f>INDEX(D:D,MATCH(J378,B:B,1))</f>
        <v>30</v>
      </c>
    </row>
    <row r="379" spans="10:11" x14ac:dyDescent="0.45">
      <c r="J379">
        <v>1880</v>
      </c>
      <c r="K379">
        <f>INDEX(D:D,MATCH(J379,B:B,1))</f>
        <v>30</v>
      </c>
    </row>
    <row r="380" spans="10:11" x14ac:dyDescent="0.45">
      <c r="J380">
        <v>1885</v>
      </c>
      <c r="K380">
        <f>INDEX(D:D,MATCH(J380,B:B,1))</f>
        <v>30</v>
      </c>
    </row>
    <row r="381" spans="10:11" x14ac:dyDescent="0.45">
      <c r="J381">
        <v>1890</v>
      </c>
      <c r="K381">
        <f>INDEX(D:D,MATCH(J381,B:B,1))</f>
        <v>30</v>
      </c>
    </row>
    <row r="382" spans="10:11" x14ac:dyDescent="0.45">
      <c r="J382">
        <v>1895</v>
      </c>
      <c r="K382">
        <f>INDEX(D:D,MATCH(J382,B:B,1))</f>
        <v>30</v>
      </c>
    </row>
    <row r="383" spans="10:11" x14ac:dyDescent="0.45">
      <c r="J383">
        <v>1900</v>
      </c>
      <c r="K383">
        <f>INDEX(D:D,MATCH(J383,B:B,1))</f>
        <v>30</v>
      </c>
    </row>
    <row r="384" spans="10:11" x14ac:dyDescent="0.45">
      <c r="J384">
        <v>1905</v>
      </c>
      <c r="K384">
        <f>INDEX(D:D,MATCH(J384,B:B,1))</f>
        <v>30</v>
      </c>
    </row>
    <row r="385" spans="10:11" x14ac:dyDescent="0.45">
      <c r="J385">
        <v>1910</v>
      </c>
      <c r="K385">
        <f>INDEX(D:D,MATCH(J385,B:B,1))</f>
        <v>30</v>
      </c>
    </row>
    <row r="386" spans="10:11" x14ac:dyDescent="0.45">
      <c r="J386">
        <v>1915</v>
      </c>
      <c r="K386">
        <f>INDEX(D:D,MATCH(J386,B:B,1))</f>
        <v>30</v>
      </c>
    </row>
    <row r="387" spans="10:11" x14ac:dyDescent="0.45">
      <c r="J387">
        <v>1920</v>
      </c>
      <c r="K387">
        <f>INDEX(D:D,MATCH(J387,B:B,1))</f>
        <v>30</v>
      </c>
    </row>
    <row r="388" spans="10:11" x14ac:dyDescent="0.45">
      <c r="J388">
        <v>1925</v>
      </c>
      <c r="K388">
        <f>INDEX(D:D,MATCH(J388,B:B,1))</f>
        <v>30</v>
      </c>
    </row>
    <row r="389" spans="10:11" x14ac:dyDescent="0.45">
      <c r="J389">
        <v>1930</v>
      </c>
      <c r="K389">
        <f>INDEX(D:D,MATCH(J389,B:B,1))</f>
        <v>30</v>
      </c>
    </row>
    <row r="390" spans="10:11" x14ac:dyDescent="0.45">
      <c r="J390">
        <v>1935</v>
      </c>
      <c r="K390">
        <f>INDEX(D:D,MATCH(J390,B:B,1))</f>
        <v>30</v>
      </c>
    </row>
    <row r="391" spans="10:11" x14ac:dyDescent="0.45">
      <c r="J391">
        <v>1940</v>
      </c>
      <c r="K391">
        <f>INDEX(D:D,MATCH(J391,B:B,1))</f>
        <v>30</v>
      </c>
    </row>
    <row r="392" spans="10:11" x14ac:dyDescent="0.45">
      <c r="J392">
        <v>1945</v>
      </c>
      <c r="K392">
        <f>INDEX(D:D,MATCH(J392,B:B,1))</f>
        <v>30</v>
      </c>
    </row>
    <row r="393" spans="10:11" x14ac:dyDescent="0.45">
      <c r="J393">
        <v>1950</v>
      </c>
      <c r="K393">
        <f>INDEX(D:D,MATCH(J393,B:B,1))</f>
        <v>30</v>
      </c>
    </row>
    <row r="394" spans="10:11" x14ac:dyDescent="0.45">
      <c r="J394">
        <v>1955</v>
      </c>
      <c r="K394">
        <f>INDEX(D:D,MATCH(J394,B:B,1))</f>
        <v>30</v>
      </c>
    </row>
    <row r="395" spans="10:11" x14ac:dyDescent="0.45">
      <c r="J395">
        <v>1960</v>
      </c>
      <c r="K395">
        <f>INDEX(D:D,MATCH(J395,B:B,1))</f>
        <v>30</v>
      </c>
    </row>
    <row r="396" spans="10:11" x14ac:dyDescent="0.45">
      <c r="J396">
        <v>1965</v>
      </c>
      <c r="K396">
        <f>INDEX(D:D,MATCH(J396,B:B,1))</f>
        <v>30</v>
      </c>
    </row>
    <row r="397" spans="10:11" x14ac:dyDescent="0.45">
      <c r="J397">
        <v>1970</v>
      </c>
      <c r="K397">
        <f>INDEX(D:D,MATCH(J397,B:B,1))</f>
        <v>30</v>
      </c>
    </row>
    <row r="398" spans="10:11" x14ac:dyDescent="0.45">
      <c r="J398">
        <v>1975</v>
      </c>
      <c r="K398">
        <f>INDEX(D:D,MATCH(J398,B:B,1))</f>
        <v>30</v>
      </c>
    </row>
    <row r="399" spans="10:11" x14ac:dyDescent="0.45">
      <c r="J399">
        <v>1980</v>
      </c>
      <c r="K399">
        <f>INDEX(D:D,MATCH(J399,B:B,1))</f>
        <v>30</v>
      </c>
    </row>
    <row r="400" spans="10:11" x14ac:dyDescent="0.45">
      <c r="J400">
        <v>1985</v>
      </c>
      <c r="K400">
        <f>INDEX(D:D,MATCH(J400,B:B,1))</f>
        <v>30</v>
      </c>
    </row>
    <row r="401" spans="10:11" x14ac:dyDescent="0.45">
      <c r="J401">
        <v>1990</v>
      </c>
      <c r="K401">
        <f>INDEX(D:D,MATCH(J401,B:B,1))</f>
        <v>30</v>
      </c>
    </row>
    <row r="402" spans="10:11" x14ac:dyDescent="0.45">
      <c r="J402">
        <v>1995</v>
      </c>
      <c r="K402">
        <f>INDEX(D:D,MATCH(J402,B:B,1))</f>
        <v>30</v>
      </c>
    </row>
    <row r="403" spans="10:11" x14ac:dyDescent="0.45">
      <c r="J403">
        <v>2000</v>
      </c>
      <c r="K403">
        <f>INDEX(D:D,MATCH(J403,B:B,1))</f>
        <v>30</v>
      </c>
    </row>
    <row r="404" spans="10:11" x14ac:dyDescent="0.45">
      <c r="J404">
        <v>2005</v>
      </c>
      <c r="K404">
        <f>INDEX(D:D,MATCH(J404,B:B,1))</f>
        <v>30</v>
      </c>
    </row>
    <row r="405" spans="10:11" x14ac:dyDescent="0.45">
      <c r="J405">
        <v>2010</v>
      </c>
      <c r="K405">
        <f>INDEX(D:D,MATCH(J405,B:B,1))</f>
        <v>30</v>
      </c>
    </row>
    <row r="406" spans="10:11" x14ac:dyDescent="0.45">
      <c r="J406">
        <v>2015</v>
      </c>
      <c r="K406">
        <f>INDEX(D:D,MATCH(J406,B:B,1))</f>
        <v>30</v>
      </c>
    </row>
    <row r="407" spans="10:11" x14ac:dyDescent="0.45">
      <c r="J407">
        <v>2020</v>
      </c>
      <c r="K407">
        <f>INDEX(D:D,MATCH(J407,B:B,1))</f>
        <v>30</v>
      </c>
    </row>
    <row r="408" spans="10:11" x14ac:dyDescent="0.45">
      <c r="J408">
        <v>2025</v>
      </c>
      <c r="K408">
        <f>INDEX(D:D,MATCH(J408,B:B,1))</f>
        <v>30</v>
      </c>
    </row>
    <row r="409" spans="10:11" x14ac:dyDescent="0.45">
      <c r="J409">
        <v>2030</v>
      </c>
      <c r="K409">
        <f>INDEX(D:D,MATCH(J409,B:B,1))</f>
        <v>30</v>
      </c>
    </row>
    <row r="410" spans="10:11" x14ac:dyDescent="0.45">
      <c r="J410">
        <v>2035</v>
      </c>
      <c r="K410">
        <f>INDEX(D:D,MATCH(J410,B:B,1))</f>
        <v>30</v>
      </c>
    </row>
    <row r="411" spans="10:11" x14ac:dyDescent="0.45">
      <c r="J411">
        <v>2040</v>
      </c>
      <c r="K411">
        <f>INDEX(D:D,MATCH(J411,B:B,1))</f>
        <v>30</v>
      </c>
    </row>
    <row r="412" spans="10:11" x14ac:dyDescent="0.45">
      <c r="J412">
        <v>2045</v>
      </c>
      <c r="K412">
        <f>INDEX(D:D,MATCH(J412,B:B,1))</f>
        <v>30</v>
      </c>
    </row>
    <row r="413" spans="10:11" x14ac:dyDescent="0.45">
      <c r="J413">
        <v>2050</v>
      </c>
      <c r="K413">
        <f>INDEX(D:D,MATCH(J413,B:B,1))</f>
        <v>30</v>
      </c>
    </row>
    <row r="414" spans="10:11" x14ac:dyDescent="0.45">
      <c r="J414">
        <v>2055</v>
      </c>
      <c r="K414">
        <f>INDEX(D:D,MATCH(J414,B:B,1))</f>
        <v>30</v>
      </c>
    </row>
    <row r="415" spans="10:11" x14ac:dyDescent="0.45">
      <c r="J415">
        <v>2060</v>
      </c>
      <c r="K415">
        <f>INDEX(D:D,MATCH(J415,B:B,1))</f>
        <v>30</v>
      </c>
    </row>
    <row r="416" spans="10:11" x14ac:dyDescent="0.45">
      <c r="J416">
        <v>2065</v>
      </c>
      <c r="K416">
        <f>INDEX(D:D,MATCH(J416,B:B,1))</f>
        <v>30</v>
      </c>
    </row>
    <row r="417" spans="10:11" x14ac:dyDescent="0.45">
      <c r="J417">
        <v>2070</v>
      </c>
      <c r="K417">
        <f>INDEX(D:D,MATCH(J417,B:B,1))</f>
        <v>35</v>
      </c>
    </row>
    <row r="418" spans="10:11" x14ac:dyDescent="0.45">
      <c r="J418">
        <v>2075</v>
      </c>
      <c r="K418">
        <f>INDEX(D:D,MATCH(J418,B:B,1))</f>
        <v>35</v>
      </c>
    </row>
    <row r="419" spans="10:11" x14ac:dyDescent="0.45">
      <c r="J419">
        <v>2080</v>
      </c>
      <c r="K419">
        <f>INDEX(D:D,MATCH(J419,B:B,1))</f>
        <v>35</v>
      </c>
    </row>
    <row r="420" spans="10:11" x14ac:dyDescent="0.45">
      <c r="J420">
        <v>2085</v>
      </c>
      <c r="K420">
        <f>INDEX(D:D,MATCH(J420,B:B,1))</f>
        <v>35</v>
      </c>
    </row>
    <row r="421" spans="10:11" x14ac:dyDescent="0.45">
      <c r="J421">
        <v>2090</v>
      </c>
      <c r="K421">
        <f>INDEX(D:D,MATCH(J421,B:B,1))</f>
        <v>35</v>
      </c>
    </row>
    <row r="422" spans="10:11" x14ac:dyDescent="0.45">
      <c r="J422">
        <v>2095</v>
      </c>
      <c r="K422">
        <f>INDEX(D:D,MATCH(J422,B:B,1))</f>
        <v>35</v>
      </c>
    </row>
    <row r="423" spans="10:11" x14ac:dyDescent="0.45">
      <c r="J423">
        <v>2100</v>
      </c>
      <c r="K423">
        <f>INDEX(D:D,MATCH(J423,B:B,1))</f>
        <v>35</v>
      </c>
    </row>
    <row r="424" spans="10:11" x14ac:dyDescent="0.45">
      <c r="J424">
        <v>2105</v>
      </c>
      <c r="K424">
        <f>INDEX(D:D,MATCH(J424,B:B,1))</f>
        <v>35</v>
      </c>
    </row>
    <row r="425" spans="10:11" x14ac:dyDescent="0.45">
      <c r="J425">
        <v>2110</v>
      </c>
      <c r="K425">
        <f>INDEX(D:D,MATCH(J425,B:B,1))</f>
        <v>35</v>
      </c>
    </row>
    <row r="426" spans="10:11" x14ac:dyDescent="0.45">
      <c r="J426">
        <v>2115</v>
      </c>
      <c r="K426">
        <f>INDEX(D:D,MATCH(J426,B:B,1))</f>
        <v>35</v>
      </c>
    </row>
    <row r="427" spans="10:11" x14ac:dyDescent="0.45">
      <c r="J427">
        <v>2120</v>
      </c>
      <c r="K427">
        <f>INDEX(D:D,MATCH(J427,B:B,1))</f>
        <v>35</v>
      </c>
    </row>
    <row r="428" spans="10:11" x14ac:dyDescent="0.45">
      <c r="J428">
        <v>2125</v>
      </c>
      <c r="K428">
        <f>INDEX(D:D,MATCH(J428,B:B,1))</f>
        <v>35</v>
      </c>
    </row>
    <row r="429" spans="10:11" x14ac:dyDescent="0.45">
      <c r="J429">
        <v>2130</v>
      </c>
      <c r="K429">
        <f>INDEX(D:D,MATCH(J429,B:B,1))</f>
        <v>35</v>
      </c>
    </row>
    <row r="430" spans="10:11" x14ac:dyDescent="0.45">
      <c r="J430">
        <v>2135</v>
      </c>
      <c r="K430">
        <f>INDEX(D:D,MATCH(J430,B:B,1))</f>
        <v>35</v>
      </c>
    </row>
    <row r="431" spans="10:11" x14ac:dyDescent="0.45">
      <c r="J431">
        <v>2140</v>
      </c>
      <c r="K431">
        <f>INDEX(D:D,MATCH(J431,B:B,1))</f>
        <v>35</v>
      </c>
    </row>
    <row r="432" spans="10:11" x14ac:dyDescent="0.45">
      <c r="J432">
        <v>2145</v>
      </c>
      <c r="K432">
        <f>INDEX(D:D,MATCH(J432,B:B,1))</f>
        <v>35</v>
      </c>
    </row>
    <row r="433" spans="10:11" x14ac:dyDescent="0.45">
      <c r="J433">
        <v>2150</v>
      </c>
      <c r="K433">
        <f>INDEX(D:D,MATCH(J433,B:B,1))</f>
        <v>35</v>
      </c>
    </row>
    <row r="434" spans="10:11" x14ac:dyDescent="0.45">
      <c r="J434">
        <v>2155</v>
      </c>
      <c r="K434">
        <f>INDEX(D:D,MATCH(J434,B:B,1))</f>
        <v>35</v>
      </c>
    </row>
    <row r="435" spans="10:11" x14ac:dyDescent="0.45">
      <c r="J435">
        <v>2160</v>
      </c>
      <c r="K435">
        <f>INDEX(D:D,MATCH(J435,B:B,1))</f>
        <v>35</v>
      </c>
    </row>
    <row r="436" spans="10:11" x14ac:dyDescent="0.45">
      <c r="J436">
        <v>2165</v>
      </c>
      <c r="K436">
        <f>INDEX(D:D,MATCH(J436,B:B,1))</f>
        <v>35</v>
      </c>
    </row>
    <row r="437" spans="10:11" x14ac:dyDescent="0.45">
      <c r="J437">
        <v>2170</v>
      </c>
      <c r="K437">
        <f>INDEX(D:D,MATCH(J437,B:B,1))</f>
        <v>35</v>
      </c>
    </row>
    <row r="438" spans="10:11" x14ac:dyDescent="0.45">
      <c r="J438">
        <v>2175</v>
      </c>
      <c r="K438">
        <f>INDEX(D:D,MATCH(J438,B:B,1))</f>
        <v>35</v>
      </c>
    </row>
    <row r="439" spans="10:11" x14ac:dyDescent="0.45">
      <c r="J439">
        <v>2180</v>
      </c>
      <c r="K439">
        <f>INDEX(D:D,MATCH(J439,B:B,1))</f>
        <v>35</v>
      </c>
    </row>
    <row r="440" spans="10:11" x14ac:dyDescent="0.45">
      <c r="J440">
        <v>2185</v>
      </c>
      <c r="K440">
        <f>INDEX(D:D,MATCH(J440,B:B,1))</f>
        <v>35</v>
      </c>
    </row>
    <row r="441" spans="10:11" x14ac:dyDescent="0.45">
      <c r="J441">
        <v>2190</v>
      </c>
      <c r="K441">
        <f>INDEX(D:D,MATCH(J441,B:B,1))</f>
        <v>35</v>
      </c>
    </row>
    <row r="442" spans="10:11" x14ac:dyDescent="0.45">
      <c r="J442">
        <v>2195</v>
      </c>
      <c r="K442">
        <f>INDEX(D:D,MATCH(J442,B:B,1))</f>
        <v>35</v>
      </c>
    </row>
    <row r="443" spans="10:11" x14ac:dyDescent="0.45">
      <c r="J443">
        <v>2200</v>
      </c>
      <c r="K443">
        <f>INDEX(D:D,MATCH(J443,B:B,1))</f>
        <v>35</v>
      </c>
    </row>
    <row r="444" spans="10:11" x14ac:dyDescent="0.45">
      <c r="J444">
        <v>2205</v>
      </c>
      <c r="K444">
        <f>INDEX(D:D,MATCH(J444,B:B,1))</f>
        <v>35</v>
      </c>
    </row>
    <row r="445" spans="10:11" x14ac:dyDescent="0.45">
      <c r="J445">
        <v>2210</v>
      </c>
      <c r="K445">
        <f>INDEX(D:D,MATCH(J445,B:B,1))</f>
        <v>35</v>
      </c>
    </row>
    <row r="446" spans="10:11" x14ac:dyDescent="0.45">
      <c r="J446">
        <v>2215</v>
      </c>
      <c r="K446">
        <f>INDEX(D:D,MATCH(J446,B:B,1))</f>
        <v>35</v>
      </c>
    </row>
    <row r="447" spans="10:11" x14ac:dyDescent="0.45">
      <c r="J447">
        <v>2220</v>
      </c>
      <c r="K447">
        <f>INDEX(D:D,MATCH(J447,B:B,1))</f>
        <v>35</v>
      </c>
    </row>
    <row r="448" spans="10:11" x14ac:dyDescent="0.45">
      <c r="J448">
        <v>2225</v>
      </c>
      <c r="K448">
        <f>INDEX(D:D,MATCH(J448,B:B,1))</f>
        <v>35</v>
      </c>
    </row>
    <row r="449" spans="10:11" x14ac:dyDescent="0.45">
      <c r="J449">
        <v>2230</v>
      </c>
      <c r="K449">
        <f>INDEX(D:D,MATCH(J449,B:B,1))</f>
        <v>35</v>
      </c>
    </row>
    <row r="450" spans="10:11" x14ac:dyDescent="0.45">
      <c r="J450">
        <v>2235</v>
      </c>
      <c r="K450">
        <f>INDEX(D:D,MATCH(J450,B:B,1))</f>
        <v>35</v>
      </c>
    </row>
    <row r="451" spans="10:11" x14ac:dyDescent="0.45">
      <c r="J451">
        <v>2240</v>
      </c>
      <c r="K451">
        <f>INDEX(D:D,MATCH(J451,B:B,1))</f>
        <v>35</v>
      </c>
    </row>
    <row r="452" spans="10:11" x14ac:dyDescent="0.45">
      <c r="J452">
        <v>2245</v>
      </c>
      <c r="K452">
        <f>INDEX(D:D,MATCH(J452,B:B,1))</f>
        <v>35</v>
      </c>
    </row>
    <row r="453" spans="10:11" x14ac:dyDescent="0.45">
      <c r="J453">
        <v>2250</v>
      </c>
      <c r="K453">
        <f>INDEX(D:D,MATCH(J453,B:B,1))</f>
        <v>35</v>
      </c>
    </row>
    <row r="454" spans="10:11" x14ac:dyDescent="0.45">
      <c r="J454">
        <v>2255</v>
      </c>
      <c r="K454">
        <f>INDEX(D:D,MATCH(J454,B:B,1))</f>
        <v>35</v>
      </c>
    </row>
    <row r="455" spans="10:11" x14ac:dyDescent="0.45">
      <c r="J455">
        <v>2260</v>
      </c>
      <c r="K455">
        <f>INDEX(D:D,MATCH(J455,B:B,1))</f>
        <v>35</v>
      </c>
    </row>
    <row r="456" spans="10:11" x14ac:dyDescent="0.45">
      <c r="J456">
        <v>2265</v>
      </c>
      <c r="K456">
        <f>INDEX(D:D,MATCH(J456,B:B,1))</f>
        <v>35</v>
      </c>
    </row>
    <row r="457" spans="10:11" x14ac:dyDescent="0.45">
      <c r="J457">
        <v>2270</v>
      </c>
      <c r="K457">
        <f>INDEX(D:D,MATCH(J457,B:B,1))</f>
        <v>35</v>
      </c>
    </row>
    <row r="458" spans="10:11" x14ac:dyDescent="0.45">
      <c r="J458">
        <v>2275</v>
      </c>
      <c r="K458">
        <f>INDEX(D:D,MATCH(J458,B:B,1))</f>
        <v>35</v>
      </c>
    </row>
    <row r="459" spans="10:11" x14ac:dyDescent="0.45">
      <c r="J459">
        <v>2280</v>
      </c>
      <c r="K459">
        <f>INDEX(D:D,MATCH(J459,B:B,1))</f>
        <v>35</v>
      </c>
    </row>
    <row r="460" spans="10:11" x14ac:dyDescent="0.45">
      <c r="J460">
        <v>2285</v>
      </c>
      <c r="K460">
        <f>INDEX(D:D,MATCH(J460,B:B,1))</f>
        <v>35</v>
      </c>
    </row>
    <row r="461" spans="10:11" x14ac:dyDescent="0.45">
      <c r="J461">
        <v>2290</v>
      </c>
      <c r="K461">
        <f>INDEX(D:D,MATCH(J461,B:B,1))</f>
        <v>35</v>
      </c>
    </row>
    <row r="462" spans="10:11" x14ac:dyDescent="0.45">
      <c r="J462">
        <v>2295</v>
      </c>
      <c r="K462">
        <f>INDEX(D:D,MATCH(J462,B:B,1))</f>
        <v>35</v>
      </c>
    </row>
    <row r="463" spans="10:11" x14ac:dyDescent="0.45">
      <c r="J463">
        <v>2300</v>
      </c>
      <c r="K463">
        <f>INDEX(D:D,MATCH(J463,B:B,1))</f>
        <v>35</v>
      </c>
    </row>
    <row r="464" spans="10:11" x14ac:dyDescent="0.45">
      <c r="J464">
        <v>2305</v>
      </c>
      <c r="K464">
        <f>INDEX(D:D,MATCH(J464,B:B,1))</f>
        <v>35</v>
      </c>
    </row>
    <row r="465" spans="10:11" x14ac:dyDescent="0.45">
      <c r="J465">
        <v>2310</v>
      </c>
      <c r="K465">
        <f>INDEX(D:D,MATCH(J465,B:B,1))</f>
        <v>35</v>
      </c>
    </row>
    <row r="466" spans="10:11" x14ac:dyDescent="0.45">
      <c r="J466">
        <v>2315</v>
      </c>
      <c r="K466">
        <f>INDEX(D:D,MATCH(J466,B:B,1))</f>
        <v>35</v>
      </c>
    </row>
    <row r="467" spans="10:11" x14ac:dyDescent="0.45">
      <c r="J467">
        <v>2320</v>
      </c>
      <c r="K467">
        <f>INDEX(D:D,MATCH(J467,B:B,1))</f>
        <v>35</v>
      </c>
    </row>
    <row r="468" spans="10:11" x14ac:dyDescent="0.45">
      <c r="J468">
        <v>2325</v>
      </c>
      <c r="K468">
        <f>INDEX(D:D,MATCH(J468,B:B,1))</f>
        <v>35</v>
      </c>
    </row>
    <row r="469" spans="10:11" x14ac:dyDescent="0.45">
      <c r="J469">
        <v>2330</v>
      </c>
      <c r="K469">
        <f>INDEX(D:D,MATCH(J469,B:B,1))</f>
        <v>35</v>
      </c>
    </row>
    <row r="470" spans="10:11" x14ac:dyDescent="0.45">
      <c r="J470">
        <v>2335</v>
      </c>
      <c r="K470">
        <f>INDEX(D:D,MATCH(J470,B:B,1))</f>
        <v>35</v>
      </c>
    </row>
    <row r="471" spans="10:11" x14ac:dyDescent="0.45">
      <c r="J471">
        <v>2340</v>
      </c>
      <c r="K471">
        <f>INDEX(D:D,MATCH(J471,B:B,1))</f>
        <v>35</v>
      </c>
    </row>
    <row r="472" spans="10:11" x14ac:dyDescent="0.45">
      <c r="J472">
        <v>2345</v>
      </c>
      <c r="K472">
        <f>INDEX(D:D,MATCH(J472,B:B,1))</f>
        <v>35</v>
      </c>
    </row>
    <row r="473" spans="10:11" x14ac:dyDescent="0.45">
      <c r="J473">
        <v>2350</v>
      </c>
      <c r="K473">
        <f>INDEX(D:D,MATCH(J473,B:B,1))</f>
        <v>35</v>
      </c>
    </row>
    <row r="474" spans="10:11" x14ac:dyDescent="0.45">
      <c r="J474">
        <v>2355</v>
      </c>
      <c r="K474">
        <f>INDEX(D:D,MATCH(J474,B:B,1))</f>
        <v>35</v>
      </c>
    </row>
    <row r="475" spans="10:11" x14ac:dyDescent="0.45">
      <c r="J475">
        <v>2360</v>
      </c>
      <c r="K475">
        <f>INDEX(D:D,MATCH(J475,B:B,1))</f>
        <v>35</v>
      </c>
    </row>
    <row r="476" spans="10:11" x14ac:dyDescent="0.45">
      <c r="J476">
        <v>2365</v>
      </c>
      <c r="K476">
        <f>INDEX(D:D,MATCH(J476,B:B,1))</f>
        <v>35</v>
      </c>
    </row>
    <row r="477" spans="10:11" x14ac:dyDescent="0.45">
      <c r="J477">
        <v>2370</v>
      </c>
      <c r="K477">
        <f>INDEX(D:D,MATCH(J477,B:B,1))</f>
        <v>40</v>
      </c>
    </row>
    <row r="478" spans="10:11" x14ac:dyDescent="0.45">
      <c r="J478">
        <v>2375</v>
      </c>
      <c r="K478">
        <f>INDEX(D:D,MATCH(J478,B:B,1))</f>
        <v>40</v>
      </c>
    </row>
    <row r="479" spans="10:11" x14ac:dyDescent="0.45">
      <c r="J479">
        <v>2380</v>
      </c>
      <c r="K479">
        <f>INDEX(D:D,MATCH(J479,B:B,1))</f>
        <v>40</v>
      </c>
    </row>
    <row r="480" spans="10:11" x14ac:dyDescent="0.45">
      <c r="J480">
        <v>2385</v>
      </c>
      <c r="K480">
        <f>INDEX(D:D,MATCH(J480,B:B,1))</f>
        <v>40</v>
      </c>
    </row>
    <row r="481" spans="10:11" x14ac:dyDescent="0.45">
      <c r="J481">
        <v>2390</v>
      </c>
      <c r="K481">
        <f>INDEX(D:D,MATCH(J481,B:B,1))</f>
        <v>40</v>
      </c>
    </row>
    <row r="482" spans="10:11" x14ac:dyDescent="0.45">
      <c r="J482">
        <v>2395</v>
      </c>
      <c r="K482">
        <f>INDEX(D:D,MATCH(J482,B:B,1))</f>
        <v>40</v>
      </c>
    </row>
    <row r="483" spans="10:11" x14ac:dyDescent="0.45">
      <c r="J483">
        <v>2400</v>
      </c>
      <c r="K483">
        <f>INDEX(D:D,MATCH(J483,B:B,1))</f>
        <v>40</v>
      </c>
    </row>
    <row r="484" spans="10:11" x14ac:dyDescent="0.45">
      <c r="J484">
        <v>2405</v>
      </c>
      <c r="K484">
        <f>INDEX(D:D,MATCH(J484,B:B,1))</f>
        <v>40</v>
      </c>
    </row>
    <row r="485" spans="10:11" x14ac:dyDescent="0.45">
      <c r="J485">
        <v>2410</v>
      </c>
      <c r="K485">
        <f>INDEX(D:D,MATCH(J485,B:B,1))</f>
        <v>40</v>
      </c>
    </row>
    <row r="486" spans="10:11" x14ac:dyDescent="0.45">
      <c r="J486">
        <v>2415</v>
      </c>
      <c r="K486">
        <f>INDEX(D:D,MATCH(J486,B:B,1))</f>
        <v>40</v>
      </c>
    </row>
    <row r="487" spans="10:11" x14ac:dyDescent="0.45">
      <c r="J487">
        <v>2420</v>
      </c>
      <c r="K487">
        <f>INDEX(D:D,MATCH(J487,B:B,1))</f>
        <v>40</v>
      </c>
    </row>
    <row r="488" spans="10:11" x14ac:dyDescent="0.45">
      <c r="J488">
        <v>2425</v>
      </c>
      <c r="K488">
        <f>INDEX(D:D,MATCH(J488,B:B,1))</f>
        <v>40</v>
      </c>
    </row>
    <row r="489" spans="10:11" x14ac:dyDescent="0.45">
      <c r="J489">
        <v>2430</v>
      </c>
      <c r="K489">
        <f>INDEX(D:D,MATCH(J489,B:B,1))</f>
        <v>40</v>
      </c>
    </row>
    <row r="490" spans="10:11" x14ac:dyDescent="0.45">
      <c r="J490">
        <v>2435</v>
      </c>
      <c r="K490">
        <f>INDEX(D:D,MATCH(J490,B:B,1))</f>
        <v>40</v>
      </c>
    </row>
    <row r="491" spans="10:11" x14ac:dyDescent="0.45">
      <c r="J491">
        <v>2440</v>
      </c>
      <c r="K491">
        <f>INDEX(D:D,MATCH(J491,B:B,1))</f>
        <v>40</v>
      </c>
    </row>
    <row r="492" spans="10:11" x14ac:dyDescent="0.45">
      <c r="J492">
        <v>2445</v>
      </c>
      <c r="K492">
        <f>INDEX(D:D,MATCH(J492,B:B,1))</f>
        <v>40</v>
      </c>
    </row>
    <row r="493" spans="10:11" x14ac:dyDescent="0.45">
      <c r="J493">
        <v>2450</v>
      </c>
      <c r="K493">
        <f>INDEX(D:D,MATCH(J493,B:B,1))</f>
        <v>40</v>
      </c>
    </row>
    <row r="494" spans="10:11" x14ac:dyDescent="0.45">
      <c r="J494">
        <v>2455</v>
      </c>
      <c r="K494">
        <f>INDEX(D:D,MATCH(J494,B:B,1))</f>
        <v>40</v>
      </c>
    </row>
    <row r="495" spans="10:11" x14ac:dyDescent="0.45">
      <c r="J495">
        <v>2460</v>
      </c>
      <c r="K495">
        <f>INDEX(D:D,MATCH(J495,B:B,1))</f>
        <v>40</v>
      </c>
    </row>
    <row r="496" spans="10:11" x14ac:dyDescent="0.45">
      <c r="J496">
        <v>2465</v>
      </c>
      <c r="K496">
        <f>INDEX(D:D,MATCH(J496,B:B,1))</f>
        <v>40</v>
      </c>
    </row>
    <row r="497" spans="10:11" x14ac:dyDescent="0.45">
      <c r="J497">
        <v>2470</v>
      </c>
      <c r="K497">
        <f>INDEX(D:D,MATCH(J497,B:B,1))</f>
        <v>40</v>
      </c>
    </row>
    <row r="498" spans="10:11" x14ac:dyDescent="0.45">
      <c r="J498">
        <v>2475</v>
      </c>
      <c r="K498">
        <f>INDEX(D:D,MATCH(J498,B:B,1))</f>
        <v>40</v>
      </c>
    </row>
    <row r="499" spans="10:11" x14ac:dyDescent="0.45">
      <c r="J499">
        <v>2480</v>
      </c>
      <c r="K499">
        <f>INDEX(D:D,MATCH(J499,B:B,1))</f>
        <v>40</v>
      </c>
    </row>
    <row r="500" spans="10:11" x14ac:dyDescent="0.45">
      <c r="J500">
        <v>2485</v>
      </c>
      <c r="K500">
        <f>INDEX(D:D,MATCH(J500,B:B,1))</f>
        <v>40</v>
      </c>
    </row>
    <row r="501" spans="10:11" x14ac:dyDescent="0.45">
      <c r="J501">
        <v>2490</v>
      </c>
      <c r="K501">
        <f>INDEX(D:D,MATCH(J501,B:B,1))</f>
        <v>40</v>
      </c>
    </row>
    <row r="502" spans="10:11" x14ac:dyDescent="0.45">
      <c r="J502">
        <v>2495</v>
      </c>
      <c r="K502">
        <f>INDEX(D:D,MATCH(J502,B:B,1))</f>
        <v>40</v>
      </c>
    </row>
    <row r="503" spans="10:11" x14ac:dyDescent="0.45">
      <c r="J503">
        <v>2500</v>
      </c>
      <c r="K503">
        <f>INDEX(D:D,MATCH(J503,B:B,1))</f>
        <v>40</v>
      </c>
    </row>
  </sheetData>
  <mergeCells count="6">
    <mergeCell ref="B3:C3"/>
    <mergeCell ref="D3:D4"/>
    <mergeCell ref="E3:H3"/>
    <mergeCell ref="V2:Y2"/>
    <mergeCell ref="O2:R2"/>
    <mergeCell ref="B2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CodeGen"/>
  <dimension ref="A1:F7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" sqref="F1"/>
    </sheetView>
  </sheetViews>
  <sheetFormatPr defaultRowHeight="14.25" x14ac:dyDescent="0.45"/>
  <cols>
    <col min="1" max="1" width="9.06640625" customWidth="1"/>
    <col min="2" max="2" width="3.06640625" customWidth="1"/>
    <col min="3" max="3" width="21.86328125" bestFit="1" customWidth="1"/>
    <col min="4" max="4" width="3.06640625" customWidth="1"/>
    <col min="5" max="5" width="13.86328125" style="2" customWidth="1"/>
    <col min="6" max="6" width="14.06640625" customWidth="1"/>
  </cols>
  <sheetData>
    <row r="1" spans="1:6" x14ac:dyDescent="0.45">
      <c r="A1" t="s">
        <v>5</v>
      </c>
      <c r="C1" t="s">
        <v>9</v>
      </c>
      <c r="E1" s="3" t="s">
        <v>7</v>
      </c>
      <c r="F1" t="s">
        <v>8</v>
      </c>
    </row>
    <row r="2" spans="1:6" x14ac:dyDescent="0.45">
      <c r="A2" t="s">
        <v>6</v>
      </c>
      <c r="E2" s="4" t="str">
        <f>Concatenate_Column(E3:E70)</f>
        <v xml:space="preserve">buy_influence_drain_0010 = {
    icon = "gfx/interface/icons/modifiers/mod_country_previous_deals.dds"
    static_resource_minerals_add = -10
    static_resource_energy_add = -10
}
buy_influence_drain_0012 = {
    icon = "gfx/interface/icons/modifiers/mod_country_previous_deals.dds"
    static_resource_minerals_add = -12
    static_resource_energy_add = -12
}
buy_influence_drain_0014 = {
    icon = "gfx/interface/icons/modifiers/mod_country_previous_deals.dds"
    static_resource_minerals_add = -14
    static_resource_energy_add = -14
}
buy_influence_drain_0016 = {
    icon = "gfx/interface/icons/modifiers/mod_country_previous_deals.dds"
    static_resource_minerals_add = -16
    static_resource_energy_add = -16
}
buy_influence_drain_0018 = {
    icon = "gfx/interface/icons/modifiers/mod_country_previous_deals.dds"
    static_resource_minerals_add = -18
    static_resource_energy_add = -18
}
buy_influence_drain_0020 = {
    icon = "gfx/interface/icons/modifiers/mod_country_previous_deals.dds"
    static_resource_minerals_add = -20
    static_resource_energy_add = -20
}
buy_influence_drain_0024 = {
    icon = "gfx/interface/icons/modifiers/mod_country_previous_deals.dds"
    static_resource_minerals_add = -24
    static_resource_energy_add = -24
}
buy_influence_drain_0025 = {
    icon = "gfx/interface/icons/modifiers/mod_country_previous_deals.dds"
    static_resource_minerals_add = -25
    static_resource_energy_add = -25
}
buy_influence_drain_0028 = {
    icon = "gfx/interface/icons/modifiers/mod_country_previous_deals.dds"
    static_resource_minerals_add = -28
    static_resource_energy_add = -28
}
buy_influence_drain_0030 = {
    icon = "gfx/interface/icons/modifiers/mod_country_previous_deals.dds"
    static_resource_minerals_add = -30
    static_resource_energy_add = -30
}
buy_influence_drain_0032 = {
    icon = "gfx/interface/icons/modifiers/mod_country_previous_deals.dds"
    static_resource_minerals_add = -32
    static_resource_energy_add = -32
}
buy_influence_drain_0035 = {
    icon = "gfx/interface/icons/modifiers/mod_country_previous_deals.dds"
    static_resource_minerals_add = -35
    static_resource_energy_add = -35
}
buy_influence_drain_0036 = {
    icon = "gfx/interface/icons/modifiers/mod_country_previous_deals.dds"
    static_resource_minerals_add = -36
    static_resource_energy_add = -36
}
buy_influence_drain_0040 = {
    icon = "gfx/interface/icons/modifiers/mod_country_previous_deals.dds"
    static_resource_minerals_add = -40
    static_resource_energy_add = -40
}
buy_influence_drain_0042 = {
    icon = "gfx/interface/icons/modifiers/mod_country_previous_deals.dds"
    static_resource_minerals_add = -42
    static_resource_energy_add = -42
}
buy_influence_drain_0045 = {
    icon = "gfx/interface/icons/modifiers/mod_country_previous_deals.dds"
    static_resource_minerals_add = -45
    static_resource_energy_add = -45
}
buy_influence_drain_0048 = {
    icon = "gfx/interface/icons/modifiers/mod_country_previous_deals.dds"
    static_resource_minerals_add = -48
    static_resource_energy_add = -48
}
buy_influence_drain_0050 = {
    icon = "gfx/interface/icons/modifiers/mod_country_previous_deals.dds"
    static_resource_minerals_add = -50
    static_resource_energy_add = -50
}
buy_influence_drain_0054 = {
    icon = "gfx/interface/icons/modifiers/mod_country_previous_deals.dds"
    static_resource_minerals_add = -54
    static_resource_energy_add = -54
}
buy_influence_drain_0056 = {
    icon = "gfx/interface/icons/modifiers/mod_country_previous_deals.dds"
    static_resource_minerals_add = -56
    static_resource_energy_add = -56
}
buy_influence_drain_0060 = {
    icon = "gfx/interface/icons/modifiers/mod_country_previous_deals.dds"
    static_resource_minerals_add = -60
    static_resource_energy_add = -60
}
buy_influence_drain_0064 = {
    icon = "gfx/interface/icons/modifiers/mod_country_previous_deals.dds"
    static_resource_minerals_add = -64
    static_resource_energy_add = -64
}
buy_influence_drain_0070 = {
    icon = "gfx/interface/icons/modifiers/mod_country_previous_deals.dds"
    static_resource_minerals_add = -70
    static_resource_energy_add = -70
}
buy_influence_drain_0072 = {
    icon = "gfx/interface/icons/modifiers/mod_country_previous_deals.dds"
    static_resource_minerals_add = -72
    static_resource_energy_add = -72
}
buy_influence_drain_0075 = {
    icon = "gfx/interface/icons/modifiers/mod_country_previous_deals.dds"
    static_resource_minerals_add = -75
    static_resource_energy_add = -75
}
buy_influence_drain_0080 = {
    icon = "gfx/interface/icons/modifiers/mod_country_previous_deals.dds"
    static_resource_minerals_add = -80
    static_resource_energy_add = -80
}
buy_influence_drain_0090 = {
    icon = "gfx/interface/icons/modifiers/mod_country_previous_deals.dds"
    static_resource_minerals_add = -90
    static_resource_energy_add = -90
}
buy_influence_drain_0100 = {
    icon = "gfx/interface/icons/modifiers/mod_country_previous_deals.dds"
    static_resource_minerals_add = -100
    static_resource_energy_add = -100
}
buy_influence_drain_0105 = {
    icon = "gfx/interface/icons/modifiers/mod_country_previous_deals.dds"
    static_resource_minerals_add = -105
    static_resource_energy_add = -105
}
buy_influence_drain_0120 = {
    icon = "gfx/interface/icons/modifiers/mod_country_previous_deals.dds"
    static_resource_minerals_add = -120
    static_resource_energy_add = -120
}
buy_influence_drain_0135 = {
    icon = "gfx/interface/icons/modifiers/mod_country_previous_deals.dds"
    static_resource_minerals_add = -135
    static_resource_energy_add = -135
}
buy_influence_drain_0140 = {
    icon = "gfx/interface/icons/modifiers/mod_country_previous_deals.dds"
    static_resource_minerals_add = -140
    static_resource_energy_add = -140
}
buy_influence_drain_0150 = {
    icon = "gfx/interface/icons/modifiers/mod_country_previous_deals.dds"
    static_resource_minerals_add = -150
    static_resource_energy_add = -150
}
buy_influence_drain_0160 = {
    icon = "gfx/interface/icons/modifiers/mod_country_previous_deals.dds"
    static_resource_minerals_add = -160
    static_resource_energy_add = -160
}
buy_influence_drain_0180 = {
    icon = "gfx/interface/icons/modifiers/mod_country_previous_deals.dds"
    static_resource_minerals_add = -180
    static_resource_energy_add = -180
}
buy_influence_drain_0200 = {
    icon = "gfx/interface/icons/modifiers/mod_country_previous_deals.dds"
    static_resource_minerals_add = -200
    static_resource_energy_add = -200
}
buy_influence_drain_0210 = {
    icon = "gfx/interface/icons/modifiers/mod_country_previous_deals.dds"
    static_resource_minerals_add = -210
    static_resource_energy_add = -210
}
buy_influence_drain_0240 = {
    icon = "gfx/interface/icons/modifiers/mod_country_previous_deals.dds"
    static_resource_minerals_add = -240
    static_resource_energy_add = -240
}
buy_influence_drain_0250 = {
    icon = "gfx/interface/icons/modifiers/mod_country_previous_deals.dds"
    static_resource_minerals_add = -250
    static_resource_energy_add = -250
}
buy_influence_drain_0270 = {
    icon = "gfx/interface/icons/modifiers/mod_country_previous_deals.dds"
    static_resource_minerals_add = -270
    static_resource_energy_add = -270
}
buy_influence_drain_0280 = {
    icon = "gfx/interface/icons/modifiers/mod_country_previous_deals.dds"
    static_resource_minerals_add = -280
    static_resource_energy_add = -280
}
buy_influence_drain_0300 = {
    icon = "gfx/interface/icons/modifiers/mod_country_previous_deals.dds"
    static_resource_minerals_add = -300
    static_resource_energy_add = -300
}
buy_influence_drain_0320 = {
    icon = "gfx/interface/icons/modifiers/mod_country_previous_deals.dds"
    static_resource_minerals_add = -320
    static_resource_energy_add = -320
}
buy_influence_drain_0350 = {
    icon = "gfx/interface/icons/modifiers/mod_country_previous_deals.dds"
    static_resource_minerals_add = -350
    static_resource_energy_add = -350
}
buy_influence_drain_0360 = {
    icon = "gfx/interface/icons/modifiers/mod_country_previous_deals.dds"
    static_resource_minerals_add = -360
    static_resource_energy_add = -360
}
buy_influence_drain_0400 = {
    icon = "gfx/interface/icons/modifiers/mod_country_previous_deals.dds"
    static_resource_minerals_add = -400
    static_resource_energy_add = -400
}
buy_influence_drain_0420 = {
    icon = "gfx/interface/icons/modifiers/mod_country_previous_deals.dds"
    static_resource_minerals_add = -420
    static_resource_energy_add = -420
}
buy_influence_drain_0450 = {
    icon = "gfx/interface/icons/modifiers/mod_country_previous_deals.dds"
    static_resource_minerals_add = -450
    static_resource_energy_add = -450
}
buy_influence_drain_0480 = {
    icon = "gfx/interface/icons/modifiers/mod_country_previous_deals.dds"
    static_resource_minerals_add = -480
    static_resource_energy_add = -480
}
buy_influence_drain_0500 = {
    icon = "gfx/interface/icons/modifiers/mod_country_previous_deals.dds"
    static_resource_minerals_add = -500
    static_resource_energy_add = -500
}
buy_influence_drain_0540 = {
    icon = "gfx/interface/icons/modifiers/mod_country_previous_deals.dds"
    static_resource_minerals_add = -540
    static_resource_energy_add = -540
}
buy_influence_drain_0560 = {
    icon = "gfx/interface/icons/modifiers/mod_country_previous_deals.dds"
    static_resource_minerals_add = -560
    static_resource_energy_add = -560
}
buy_influence_drain_0600 = {
    icon = "gfx/interface/icons/modifiers/mod_country_previous_deals.dds"
    static_resource_minerals_add = -600
    static_resource_energy_add = -600
}
buy_influence_drain_0640 = {
    icon = "gfx/interface/icons/modifiers/mod_country_previous_deals.dds"
    static_resource_minerals_add = -640
    static_resource_energy_add = -640
}
buy_influence_drain_0700 = {
    icon = "gfx/interface/icons/modifiers/mod_country_previous_deals.dds"
    static_resource_minerals_add = -700
    static_resource_energy_add = -700
}
buy_influence_drain_0720 = {
    icon = "gfx/interface/icons/modifiers/mod_country_previous_deals.dds"
    static_resource_minerals_add = -720
    static_resource_energy_add = -720
}
buy_influence_drain_0750 = {
    icon = "gfx/interface/icons/modifiers/mod_country_previous_deals.dds"
    static_resource_minerals_add = -750
    static_resource_energy_add = -750
}
buy_influence_drain_0800 = {
    icon = "gfx/interface/icons/modifiers/mod_country_previous_deals.dds"
    static_resource_minerals_add = -800
    static_resource_energy_add = -800
}
buy_influence_drain_0900 = {
    icon = "gfx/interface/icons/modifiers/mod_country_previous_deals.dds"
    static_resource_minerals_add = -900
    static_resource_energy_add = -900
}
buy_influence_drain_1000 = {
    icon = "gfx/interface/icons/modifiers/mod_country_previous_deals.dds"
    static_resource_minerals_add = -1000
    static_resource_energy_add = -1000
}
buy_influence_drain_1050 = {
    icon = "gfx/interface/icons/modifiers/mod_country_previous_deals.dds"
    static_resource_minerals_add = -1050
    static_resource_energy_add = -1050
}
buy_influence_drain_1200 = {
    icon = "gfx/interface/icons/modifiers/mod_country_previous_deals.dds"
    static_resource_minerals_add = -1200
    static_resource_energy_add = -1200
}
buy_influence_drain_1350 = {
    icon = "gfx/interface/icons/modifiers/mod_country_previous_deals.dds"
    static_resource_minerals_add = -1350
    static_resource_energy_add = -1350
}
buy_influence_drain_1400 = {
    icon = "gfx/interface/icons/modifiers/mod_country_previous_deals.dds"
    static_resource_minerals_add = -1400
    static_resource_energy_add = -1400
}
buy_influence_drain_1500 = {
    icon = "gfx/interface/icons/modifiers/mod_country_previous_deals.dds"
    static_resource_minerals_add = -1500
    static_resource_energy_add = -1500
}
buy_influence_drain_1600 = {
    icon = "gfx/interface/icons/modifiers/mod_country_previous_deals.dds"
    static_resource_minerals_add = -1600
    static_resource_energy_add = -1600
}
buy_influence_drain_1800 = {
    icon = "gfx/interface/icons/modifiers/mod_country_previous_deals.dds"
    static_resource_minerals_add = -1800
    static_resource_energy_add = -1800
}
buy_influence_drain_2000 = {
    icon = "gfx/interface/icons/modifiers/mod_country_previous_deals.dds"
    static_resource_minerals_add = -2000
    static_resource_energy_add = -2000
}
</v>
      </c>
      <c r="F2" s="4" t="str">
        <f>Concatenate_Column(F3:F70)</f>
        <v xml:space="preserve">remove_modifier = buy_influence_drain_0010
remove_modifier = buy_influence_drain_0012
remove_modifier = buy_influence_drain_0014
remove_modifier = buy_influence_drain_0016
remove_modifier = buy_influence_drain_0018
remove_modifier = buy_influence_drain_0020
remove_modifier = buy_influence_drain_0024
remove_modifier = buy_influence_drain_0025
remove_modifier = buy_influence_drain_0028
remove_modifier = buy_influence_drain_0030
remove_modifier = buy_influence_drain_0032
remove_modifier = buy_influence_drain_0035
remove_modifier = buy_influence_drain_0036
remove_modifier = buy_influence_drain_0040
remove_modifier = buy_influence_drain_0042
remove_modifier = buy_influence_drain_0045
remove_modifier = buy_influence_drain_0048
remove_modifier = buy_influence_drain_0050
remove_modifier = buy_influence_drain_0054
remove_modifier = buy_influence_drain_0056
remove_modifier = buy_influence_drain_0060
remove_modifier = buy_influence_drain_0064
remove_modifier = buy_influence_drain_0070
remove_modifier = buy_influence_drain_0072
remove_modifier = buy_influence_drain_0075
remove_modifier = buy_influence_drain_0080
remove_modifier = buy_influence_drain_0090
remove_modifier = buy_influence_drain_0100
remove_modifier = buy_influence_drain_0105
remove_modifier = buy_influence_drain_0120
remove_modifier = buy_influence_drain_0135
remove_modifier = buy_influence_drain_0140
remove_modifier = buy_influence_drain_0150
remove_modifier = buy_influence_drain_0160
remove_modifier = buy_influence_drain_0180
remove_modifier = buy_influence_drain_0200
remove_modifier = buy_influence_drain_0210
remove_modifier = buy_influence_drain_0240
remove_modifier = buy_influence_drain_0250
remove_modifier = buy_influence_drain_0270
remove_modifier = buy_influence_drain_0280
remove_modifier = buy_influence_drain_0300
remove_modifier = buy_influence_drain_0320
remove_modifier = buy_influence_drain_0350
remove_modifier = buy_influence_drain_0360
remove_modifier = buy_influence_drain_0400
remove_modifier = buy_influence_drain_0420
remove_modifier = buy_influence_drain_0450
remove_modifier = buy_influence_drain_0480
remove_modifier = buy_influence_drain_0500
remove_modifier = buy_influence_drain_0540
remove_modifier = buy_influence_drain_0560
remove_modifier = buy_influence_drain_0600
remove_modifier = buy_influence_drain_0640
remove_modifier = buy_influence_drain_0700
remove_modifier = buy_influence_drain_0720
remove_modifier = buy_influence_drain_0750
remove_modifier = buy_influence_drain_0800
remove_modifier = buy_influence_drain_0900
remove_modifier = buy_influence_drain_1000
remove_modifier = buy_influence_drain_1050
remove_modifier = buy_influence_drain_1200
remove_modifier = buy_influence_drain_1350
remove_modifier = buy_influence_drain_1400
remove_modifier = buy_influence_drain_1500
remove_modifier = buy_influence_drain_1600
remove_modifier = buy_influence_drain_1800
remove_modifier = buy_influence_drain_2000
</v>
      </c>
    </row>
    <row r="3" spans="1:6" x14ac:dyDescent="0.45">
      <c r="A3">
        <v>10</v>
      </c>
      <c r="C3" t="str">
        <f>"buy_influence_drain_" &amp; IF(A3&lt;100,"00",IF(A3&lt;1000,"0","")) &amp; A3</f>
        <v>buy_influence_drain_0010</v>
      </c>
      <c r="E3" s="2" t="str">
        <f>C3&amp; " = {
    icon = " &amp; """" &amp; "gfx/interface/icons/modifiers/mod_country_previous_deals.dds" &amp; """" &amp; "
    static_resource_minerals_add = -" &amp; A3 &amp; "
    static_resource_energy_add = -" &amp; A3 &amp; "
}
"</f>
        <v xml:space="preserve">buy_influence_drain_0010 = {
    icon = "gfx/interface/icons/modifiers/mod_country_previous_deals.dds"
    static_resource_minerals_add = -10
    static_resource_energy_add = -10
}
</v>
      </c>
      <c r="F3" t="str">
        <f>"remove_modifier = " &amp; C3 &amp; "
"</f>
        <v xml:space="preserve">remove_modifier = buy_influence_drain_0010
</v>
      </c>
    </row>
    <row r="4" spans="1:6" x14ac:dyDescent="0.45">
      <c r="A4">
        <v>12</v>
      </c>
      <c r="C4" t="str">
        <f t="shared" ref="C4:C67" si="0">"buy_influence_drain_" &amp; IF(A4&lt;100,"00",IF(A4&lt;1000,"0","")) &amp; A4</f>
        <v>buy_influence_drain_0012</v>
      </c>
      <c r="E4" s="2" t="str">
        <f t="shared" ref="E4:E67" si="1">C4&amp; " = {
    icon = " &amp; """" &amp; "gfx/interface/icons/modifiers/mod_country_previous_deals.dds" &amp; """" &amp; "
    static_resource_minerals_add = -" &amp; A4 &amp; "
    static_resource_energy_add = -" &amp; A4 &amp; "
}
"</f>
        <v xml:space="preserve">buy_influence_drain_0012 = {
    icon = "gfx/interface/icons/modifiers/mod_country_previous_deals.dds"
    static_resource_minerals_add = -12
    static_resource_energy_add = -12
}
</v>
      </c>
      <c r="F4" t="str">
        <f t="shared" ref="F4:F67" si="2">"remove_modifier = " &amp; C4 &amp; "
"</f>
        <v xml:space="preserve">remove_modifier = buy_influence_drain_0012
</v>
      </c>
    </row>
    <row r="5" spans="1:6" x14ac:dyDescent="0.45">
      <c r="A5">
        <v>14</v>
      </c>
      <c r="C5" t="str">
        <f t="shared" si="0"/>
        <v>buy_influence_drain_0014</v>
      </c>
      <c r="E5" s="2" t="str">
        <f t="shared" si="1"/>
        <v xml:space="preserve">buy_influence_drain_0014 = {
    icon = "gfx/interface/icons/modifiers/mod_country_previous_deals.dds"
    static_resource_minerals_add = -14
    static_resource_energy_add = -14
}
</v>
      </c>
      <c r="F5" t="str">
        <f t="shared" si="2"/>
        <v xml:space="preserve">remove_modifier = buy_influence_drain_0014
</v>
      </c>
    </row>
    <row r="6" spans="1:6" x14ac:dyDescent="0.45">
      <c r="A6">
        <v>16</v>
      </c>
      <c r="C6" t="str">
        <f t="shared" si="0"/>
        <v>buy_influence_drain_0016</v>
      </c>
      <c r="E6" s="2" t="str">
        <f t="shared" si="1"/>
        <v xml:space="preserve">buy_influence_drain_0016 = {
    icon = "gfx/interface/icons/modifiers/mod_country_previous_deals.dds"
    static_resource_minerals_add = -16
    static_resource_energy_add = -16
}
</v>
      </c>
      <c r="F6" t="str">
        <f t="shared" si="2"/>
        <v xml:space="preserve">remove_modifier = buy_influence_drain_0016
</v>
      </c>
    </row>
    <row r="7" spans="1:6" x14ac:dyDescent="0.45">
      <c r="A7">
        <v>18</v>
      </c>
      <c r="C7" t="str">
        <f t="shared" si="0"/>
        <v>buy_influence_drain_0018</v>
      </c>
      <c r="E7" s="2" t="str">
        <f t="shared" si="1"/>
        <v xml:space="preserve">buy_influence_drain_0018 = {
    icon = "gfx/interface/icons/modifiers/mod_country_previous_deals.dds"
    static_resource_minerals_add = -18
    static_resource_energy_add = -18
}
</v>
      </c>
      <c r="F7" t="str">
        <f t="shared" si="2"/>
        <v xml:space="preserve">remove_modifier = buy_influence_drain_0018
</v>
      </c>
    </row>
    <row r="8" spans="1:6" x14ac:dyDescent="0.45">
      <c r="A8">
        <v>20</v>
      </c>
      <c r="C8" t="str">
        <f t="shared" si="0"/>
        <v>buy_influence_drain_0020</v>
      </c>
      <c r="E8" s="2" t="str">
        <f t="shared" si="1"/>
        <v xml:space="preserve">buy_influence_drain_0020 = {
    icon = "gfx/interface/icons/modifiers/mod_country_previous_deals.dds"
    static_resource_minerals_add = -20
    static_resource_energy_add = -20
}
</v>
      </c>
      <c r="F8" t="str">
        <f t="shared" si="2"/>
        <v xml:space="preserve">remove_modifier = buy_influence_drain_0020
</v>
      </c>
    </row>
    <row r="9" spans="1:6" x14ac:dyDescent="0.45">
      <c r="A9">
        <v>24</v>
      </c>
      <c r="C9" t="str">
        <f t="shared" si="0"/>
        <v>buy_influence_drain_0024</v>
      </c>
      <c r="E9" s="2" t="str">
        <f t="shared" si="1"/>
        <v xml:space="preserve">buy_influence_drain_0024 = {
    icon = "gfx/interface/icons/modifiers/mod_country_previous_deals.dds"
    static_resource_minerals_add = -24
    static_resource_energy_add = -24
}
</v>
      </c>
      <c r="F9" t="str">
        <f t="shared" si="2"/>
        <v xml:space="preserve">remove_modifier = buy_influence_drain_0024
</v>
      </c>
    </row>
    <row r="10" spans="1:6" x14ac:dyDescent="0.45">
      <c r="A10">
        <v>25</v>
      </c>
      <c r="C10" t="str">
        <f t="shared" si="0"/>
        <v>buy_influence_drain_0025</v>
      </c>
      <c r="E10" s="2" t="str">
        <f t="shared" si="1"/>
        <v xml:space="preserve">buy_influence_drain_0025 = {
    icon = "gfx/interface/icons/modifiers/mod_country_previous_deals.dds"
    static_resource_minerals_add = -25
    static_resource_energy_add = -25
}
</v>
      </c>
      <c r="F10" t="str">
        <f t="shared" si="2"/>
        <v xml:space="preserve">remove_modifier = buy_influence_drain_0025
</v>
      </c>
    </row>
    <row r="11" spans="1:6" x14ac:dyDescent="0.45">
      <c r="A11">
        <v>28</v>
      </c>
      <c r="C11" t="str">
        <f t="shared" si="0"/>
        <v>buy_influence_drain_0028</v>
      </c>
      <c r="E11" s="2" t="str">
        <f t="shared" si="1"/>
        <v xml:space="preserve">buy_influence_drain_0028 = {
    icon = "gfx/interface/icons/modifiers/mod_country_previous_deals.dds"
    static_resource_minerals_add = -28
    static_resource_energy_add = -28
}
</v>
      </c>
      <c r="F11" t="str">
        <f t="shared" si="2"/>
        <v xml:space="preserve">remove_modifier = buy_influence_drain_0028
</v>
      </c>
    </row>
    <row r="12" spans="1:6" x14ac:dyDescent="0.45">
      <c r="A12">
        <v>30</v>
      </c>
      <c r="C12" t="str">
        <f t="shared" si="0"/>
        <v>buy_influence_drain_0030</v>
      </c>
      <c r="E12" s="2" t="str">
        <f t="shared" si="1"/>
        <v xml:space="preserve">buy_influence_drain_0030 = {
    icon = "gfx/interface/icons/modifiers/mod_country_previous_deals.dds"
    static_resource_minerals_add = -30
    static_resource_energy_add = -30
}
</v>
      </c>
      <c r="F12" t="str">
        <f t="shared" si="2"/>
        <v xml:space="preserve">remove_modifier = buy_influence_drain_0030
</v>
      </c>
    </row>
    <row r="13" spans="1:6" x14ac:dyDescent="0.45">
      <c r="A13">
        <v>32</v>
      </c>
      <c r="C13" t="str">
        <f t="shared" si="0"/>
        <v>buy_influence_drain_0032</v>
      </c>
      <c r="E13" s="2" t="str">
        <f t="shared" si="1"/>
        <v xml:space="preserve">buy_influence_drain_0032 = {
    icon = "gfx/interface/icons/modifiers/mod_country_previous_deals.dds"
    static_resource_minerals_add = -32
    static_resource_energy_add = -32
}
</v>
      </c>
      <c r="F13" t="str">
        <f t="shared" si="2"/>
        <v xml:space="preserve">remove_modifier = buy_influence_drain_0032
</v>
      </c>
    </row>
    <row r="14" spans="1:6" x14ac:dyDescent="0.45">
      <c r="A14">
        <v>35</v>
      </c>
      <c r="C14" t="str">
        <f t="shared" si="0"/>
        <v>buy_influence_drain_0035</v>
      </c>
      <c r="E14" s="2" t="str">
        <f t="shared" si="1"/>
        <v xml:space="preserve">buy_influence_drain_0035 = {
    icon = "gfx/interface/icons/modifiers/mod_country_previous_deals.dds"
    static_resource_minerals_add = -35
    static_resource_energy_add = -35
}
</v>
      </c>
      <c r="F14" t="str">
        <f t="shared" si="2"/>
        <v xml:space="preserve">remove_modifier = buy_influence_drain_0035
</v>
      </c>
    </row>
    <row r="15" spans="1:6" x14ac:dyDescent="0.45">
      <c r="A15">
        <v>36</v>
      </c>
      <c r="C15" t="str">
        <f t="shared" si="0"/>
        <v>buy_influence_drain_0036</v>
      </c>
      <c r="E15" s="2" t="str">
        <f t="shared" si="1"/>
        <v xml:space="preserve">buy_influence_drain_0036 = {
    icon = "gfx/interface/icons/modifiers/mod_country_previous_deals.dds"
    static_resource_minerals_add = -36
    static_resource_energy_add = -36
}
</v>
      </c>
      <c r="F15" t="str">
        <f t="shared" si="2"/>
        <v xml:space="preserve">remove_modifier = buy_influence_drain_0036
</v>
      </c>
    </row>
    <row r="16" spans="1:6" x14ac:dyDescent="0.45">
      <c r="A16">
        <v>40</v>
      </c>
      <c r="C16" t="str">
        <f t="shared" si="0"/>
        <v>buy_influence_drain_0040</v>
      </c>
      <c r="E16" s="2" t="str">
        <f t="shared" si="1"/>
        <v xml:space="preserve">buy_influence_drain_0040 = {
    icon = "gfx/interface/icons/modifiers/mod_country_previous_deals.dds"
    static_resource_minerals_add = -40
    static_resource_energy_add = -40
}
</v>
      </c>
      <c r="F16" t="str">
        <f t="shared" si="2"/>
        <v xml:space="preserve">remove_modifier = buy_influence_drain_0040
</v>
      </c>
    </row>
    <row r="17" spans="1:6" x14ac:dyDescent="0.45">
      <c r="A17">
        <v>42</v>
      </c>
      <c r="C17" t="str">
        <f t="shared" si="0"/>
        <v>buy_influence_drain_0042</v>
      </c>
      <c r="E17" s="2" t="str">
        <f t="shared" si="1"/>
        <v xml:space="preserve">buy_influence_drain_0042 = {
    icon = "gfx/interface/icons/modifiers/mod_country_previous_deals.dds"
    static_resource_minerals_add = -42
    static_resource_energy_add = -42
}
</v>
      </c>
      <c r="F17" t="str">
        <f t="shared" si="2"/>
        <v xml:space="preserve">remove_modifier = buy_influence_drain_0042
</v>
      </c>
    </row>
    <row r="18" spans="1:6" x14ac:dyDescent="0.45">
      <c r="A18">
        <v>45</v>
      </c>
      <c r="C18" t="str">
        <f t="shared" si="0"/>
        <v>buy_influence_drain_0045</v>
      </c>
      <c r="E18" s="2" t="str">
        <f t="shared" si="1"/>
        <v xml:space="preserve">buy_influence_drain_0045 = {
    icon = "gfx/interface/icons/modifiers/mod_country_previous_deals.dds"
    static_resource_minerals_add = -45
    static_resource_energy_add = -45
}
</v>
      </c>
      <c r="F18" t="str">
        <f t="shared" si="2"/>
        <v xml:space="preserve">remove_modifier = buy_influence_drain_0045
</v>
      </c>
    </row>
    <row r="19" spans="1:6" x14ac:dyDescent="0.45">
      <c r="A19">
        <v>48</v>
      </c>
      <c r="C19" t="str">
        <f t="shared" si="0"/>
        <v>buy_influence_drain_0048</v>
      </c>
      <c r="E19" s="2" t="str">
        <f t="shared" si="1"/>
        <v xml:space="preserve">buy_influence_drain_0048 = {
    icon = "gfx/interface/icons/modifiers/mod_country_previous_deals.dds"
    static_resource_minerals_add = -48
    static_resource_energy_add = -48
}
</v>
      </c>
      <c r="F19" t="str">
        <f t="shared" si="2"/>
        <v xml:space="preserve">remove_modifier = buy_influence_drain_0048
</v>
      </c>
    </row>
    <row r="20" spans="1:6" x14ac:dyDescent="0.45">
      <c r="A20">
        <v>50</v>
      </c>
      <c r="C20" t="str">
        <f t="shared" si="0"/>
        <v>buy_influence_drain_0050</v>
      </c>
      <c r="E20" s="2" t="str">
        <f t="shared" si="1"/>
        <v xml:space="preserve">buy_influence_drain_0050 = {
    icon = "gfx/interface/icons/modifiers/mod_country_previous_deals.dds"
    static_resource_minerals_add = -50
    static_resource_energy_add = -50
}
</v>
      </c>
      <c r="F20" t="str">
        <f t="shared" si="2"/>
        <v xml:space="preserve">remove_modifier = buy_influence_drain_0050
</v>
      </c>
    </row>
    <row r="21" spans="1:6" x14ac:dyDescent="0.45">
      <c r="A21">
        <v>54</v>
      </c>
      <c r="C21" t="str">
        <f t="shared" si="0"/>
        <v>buy_influence_drain_0054</v>
      </c>
      <c r="E21" s="2" t="str">
        <f t="shared" si="1"/>
        <v xml:space="preserve">buy_influence_drain_0054 = {
    icon = "gfx/interface/icons/modifiers/mod_country_previous_deals.dds"
    static_resource_minerals_add = -54
    static_resource_energy_add = -54
}
</v>
      </c>
      <c r="F21" t="str">
        <f t="shared" si="2"/>
        <v xml:space="preserve">remove_modifier = buy_influence_drain_0054
</v>
      </c>
    </row>
    <row r="22" spans="1:6" x14ac:dyDescent="0.45">
      <c r="A22">
        <v>56</v>
      </c>
      <c r="C22" t="str">
        <f t="shared" si="0"/>
        <v>buy_influence_drain_0056</v>
      </c>
      <c r="E22" s="2" t="str">
        <f t="shared" si="1"/>
        <v xml:space="preserve">buy_influence_drain_0056 = {
    icon = "gfx/interface/icons/modifiers/mod_country_previous_deals.dds"
    static_resource_minerals_add = -56
    static_resource_energy_add = -56
}
</v>
      </c>
      <c r="F22" t="str">
        <f t="shared" si="2"/>
        <v xml:space="preserve">remove_modifier = buy_influence_drain_0056
</v>
      </c>
    </row>
    <row r="23" spans="1:6" x14ac:dyDescent="0.45">
      <c r="A23">
        <v>60</v>
      </c>
      <c r="C23" t="str">
        <f t="shared" si="0"/>
        <v>buy_influence_drain_0060</v>
      </c>
      <c r="E23" s="2" t="str">
        <f t="shared" si="1"/>
        <v xml:space="preserve">buy_influence_drain_0060 = {
    icon = "gfx/interface/icons/modifiers/mod_country_previous_deals.dds"
    static_resource_minerals_add = -60
    static_resource_energy_add = -60
}
</v>
      </c>
      <c r="F23" t="str">
        <f t="shared" si="2"/>
        <v xml:space="preserve">remove_modifier = buy_influence_drain_0060
</v>
      </c>
    </row>
    <row r="24" spans="1:6" x14ac:dyDescent="0.45">
      <c r="A24">
        <v>64</v>
      </c>
      <c r="C24" t="str">
        <f t="shared" si="0"/>
        <v>buy_influence_drain_0064</v>
      </c>
      <c r="E24" s="2" t="str">
        <f t="shared" si="1"/>
        <v xml:space="preserve">buy_influence_drain_0064 = {
    icon = "gfx/interface/icons/modifiers/mod_country_previous_deals.dds"
    static_resource_minerals_add = -64
    static_resource_energy_add = -64
}
</v>
      </c>
      <c r="F24" t="str">
        <f t="shared" si="2"/>
        <v xml:space="preserve">remove_modifier = buy_influence_drain_0064
</v>
      </c>
    </row>
    <row r="25" spans="1:6" x14ac:dyDescent="0.45">
      <c r="A25">
        <v>70</v>
      </c>
      <c r="C25" t="str">
        <f t="shared" si="0"/>
        <v>buy_influence_drain_0070</v>
      </c>
      <c r="E25" s="2" t="str">
        <f t="shared" si="1"/>
        <v xml:space="preserve">buy_influence_drain_0070 = {
    icon = "gfx/interface/icons/modifiers/mod_country_previous_deals.dds"
    static_resource_minerals_add = -70
    static_resource_energy_add = -70
}
</v>
      </c>
      <c r="F25" t="str">
        <f t="shared" si="2"/>
        <v xml:space="preserve">remove_modifier = buy_influence_drain_0070
</v>
      </c>
    </row>
    <row r="26" spans="1:6" x14ac:dyDescent="0.45">
      <c r="A26">
        <v>72</v>
      </c>
      <c r="C26" t="str">
        <f t="shared" si="0"/>
        <v>buy_influence_drain_0072</v>
      </c>
      <c r="E26" s="2" t="str">
        <f t="shared" si="1"/>
        <v xml:space="preserve">buy_influence_drain_0072 = {
    icon = "gfx/interface/icons/modifiers/mod_country_previous_deals.dds"
    static_resource_minerals_add = -72
    static_resource_energy_add = -72
}
</v>
      </c>
      <c r="F26" t="str">
        <f t="shared" si="2"/>
        <v xml:space="preserve">remove_modifier = buy_influence_drain_0072
</v>
      </c>
    </row>
    <row r="27" spans="1:6" x14ac:dyDescent="0.45">
      <c r="A27">
        <v>75</v>
      </c>
      <c r="C27" t="str">
        <f t="shared" si="0"/>
        <v>buy_influence_drain_0075</v>
      </c>
      <c r="E27" s="2" t="str">
        <f t="shared" si="1"/>
        <v xml:space="preserve">buy_influence_drain_0075 = {
    icon = "gfx/interface/icons/modifiers/mod_country_previous_deals.dds"
    static_resource_minerals_add = -75
    static_resource_energy_add = -75
}
</v>
      </c>
      <c r="F27" t="str">
        <f t="shared" si="2"/>
        <v xml:space="preserve">remove_modifier = buy_influence_drain_0075
</v>
      </c>
    </row>
    <row r="28" spans="1:6" x14ac:dyDescent="0.45">
      <c r="A28">
        <v>80</v>
      </c>
      <c r="C28" t="str">
        <f t="shared" si="0"/>
        <v>buy_influence_drain_0080</v>
      </c>
      <c r="E28" s="2" t="str">
        <f t="shared" si="1"/>
        <v xml:space="preserve">buy_influence_drain_0080 = {
    icon = "gfx/interface/icons/modifiers/mod_country_previous_deals.dds"
    static_resource_minerals_add = -80
    static_resource_energy_add = -80
}
</v>
      </c>
      <c r="F28" t="str">
        <f t="shared" si="2"/>
        <v xml:space="preserve">remove_modifier = buy_influence_drain_0080
</v>
      </c>
    </row>
    <row r="29" spans="1:6" x14ac:dyDescent="0.45">
      <c r="A29">
        <v>90</v>
      </c>
      <c r="C29" t="str">
        <f t="shared" si="0"/>
        <v>buy_influence_drain_0090</v>
      </c>
      <c r="E29" s="2" t="str">
        <f t="shared" si="1"/>
        <v xml:space="preserve">buy_influence_drain_0090 = {
    icon = "gfx/interface/icons/modifiers/mod_country_previous_deals.dds"
    static_resource_minerals_add = -90
    static_resource_energy_add = -90
}
</v>
      </c>
      <c r="F29" t="str">
        <f t="shared" si="2"/>
        <v xml:space="preserve">remove_modifier = buy_influence_drain_0090
</v>
      </c>
    </row>
    <row r="30" spans="1:6" x14ac:dyDescent="0.45">
      <c r="A30">
        <v>100</v>
      </c>
      <c r="C30" t="str">
        <f t="shared" si="0"/>
        <v>buy_influence_drain_0100</v>
      </c>
      <c r="E30" s="2" t="str">
        <f t="shared" si="1"/>
        <v xml:space="preserve">buy_influence_drain_0100 = {
    icon = "gfx/interface/icons/modifiers/mod_country_previous_deals.dds"
    static_resource_minerals_add = -100
    static_resource_energy_add = -100
}
</v>
      </c>
      <c r="F30" t="str">
        <f t="shared" si="2"/>
        <v xml:space="preserve">remove_modifier = buy_influence_drain_0100
</v>
      </c>
    </row>
    <row r="31" spans="1:6" x14ac:dyDescent="0.45">
      <c r="A31">
        <v>105</v>
      </c>
      <c r="C31" t="str">
        <f t="shared" si="0"/>
        <v>buy_influence_drain_0105</v>
      </c>
      <c r="E31" s="2" t="str">
        <f t="shared" si="1"/>
        <v xml:space="preserve">buy_influence_drain_0105 = {
    icon = "gfx/interface/icons/modifiers/mod_country_previous_deals.dds"
    static_resource_minerals_add = -105
    static_resource_energy_add = -105
}
</v>
      </c>
      <c r="F31" t="str">
        <f t="shared" si="2"/>
        <v xml:space="preserve">remove_modifier = buy_influence_drain_0105
</v>
      </c>
    </row>
    <row r="32" spans="1:6" x14ac:dyDescent="0.45">
      <c r="A32">
        <v>120</v>
      </c>
      <c r="C32" t="str">
        <f t="shared" si="0"/>
        <v>buy_influence_drain_0120</v>
      </c>
      <c r="E32" s="2" t="str">
        <f t="shared" si="1"/>
        <v xml:space="preserve">buy_influence_drain_0120 = {
    icon = "gfx/interface/icons/modifiers/mod_country_previous_deals.dds"
    static_resource_minerals_add = -120
    static_resource_energy_add = -120
}
</v>
      </c>
      <c r="F32" t="str">
        <f t="shared" si="2"/>
        <v xml:space="preserve">remove_modifier = buy_influence_drain_0120
</v>
      </c>
    </row>
    <row r="33" spans="1:6" x14ac:dyDescent="0.45">
      <c r="A33">
        <v>135</v>
      </c>
      <c r="C33" t="str">
        <f t="shared" si="0"/>
        <v>buy_influence_drain_0135</v>
      </c>
      <c r="E33" s="2" t="str">
        <f t="shared" si="1"/>
        <v xml:space="preserve">buy_influence_drain_0135 = {
    icon = "gfx/interface/icons/modifiers/mod_country_previous_deals.dds"
    static_resource_minerals_add = -135
    static_resource_energy_add = -135
}
</v>
      </c>
      <c r="F33" t="str">
        <f t="shared" si="2"/>
        <v xml:space="preserve">remove_modifier = buy_influence_drain_0135
</v>
      </c>
    </row>
    <row r="34" spans="1:6" x14ac:dyDescent="0.45">
      <c r="A34">
        <v>140</v>
      </c>
      <c r="C34" t="str">
        <f t="shared" si="0"/>
        <v>buy_influence_drain_0140</v>
      </c>
      <c r="E34" s="2" t="str">
        <f t="shared" si="1"/>
        <v xml:space="preserve">buy_influence_drain_0140 = {
    icon = "gfx/interface/icons/modifiers/mod_country_previous_deals.dds"
    static_resource_minerals_add = -140
    static_resource_energy_add = -140
}
</v>
      </c>
      <c r="F34" t="str">
        <f t="shared" si="2"/>
        <v xml:space="preserve">remove_modifier = buy_influence_drain_0140
</v>
      </c>
    </row>
    <row r="35" spans="1:6" x14ac:dyDescent="0.45">
      <c r="A35">
        <v>150</v>
      </c>
      <c r="C35" t="str">
        <f t="shared" si="0"/>
        <v>buy_influence_drain_0150</v>
      </c>
      <c r="E35" s="2" t="str">
        <f t="shared" si="1"/>
        <v xml:space="preserve">buy_influence_drain_0150 = {
    icon = "gfx/interface/icons/modifiers/mod_country_previous_deals.dds"
    static_resource_minerals_add = -150
    static_resource_energy_add = -150
}
</v>
      </c>
      <c r="F35" t="str">
        <f t="shared" si="2"/>
        <v xml:space="preserve">remove_modifier = buy_influence_drain_0150
</v>
      </c>
    </row>
    <row r="36" spans="1:6" x14ac:dyDescent="0.45">
      <c r="A36">
        <v>160</v>
      </c>
      <c r="C36" t="str">
        <f t="shared" si="0"/>
        <v>buy_influence_drain_0160</v>
      </c>
      <c r="E36" s="2" t="str">
        <f t="shared" si="1"/>
        <v xml:space="preserve">buy_influence_drain_0160 = {
    icon = "gfx/interface/icons/modifiers/mod_country_previous_deals.dds"
    static_resource_minerals_add = -160
    static_resource_energy_add = -160
}
</v>
      </c>
      <c r="F36" t="str">
        <f t="shared" si="2"/>
        <v xml:space="preserve">remove_modifier = buy_influence_drain_0160
</v>
      </c>
    </row>
    <row r="37" spans="1:6" x14ac:dyDescent="0.45">
      <c r="A37">
        <v>180</v>
      </c>
      <c r="C37" t="str">
        <f t="shared" si="0"/>
        <v>buy_influence_drain_0180</v>
      </c>
      <c r="E37" s="2" t="str">
        <f t="shared" si="1"/>
        <v xml:space="preserve">buy_influence_drain_0180 = {
    icon = "gfx/interface/icons/modifiers/mod_country_previous_deals.dds"
    static_resource_minerals_add = -180
    static_resource_energy_add = -180
}
</v>
      </c>
      <c r="F37" t="str">
        <f t="shared" si="2"/>
        <v xml:space="preserve">remove_modifier = buy_influence_drain_0180
</v>
      </c>
    </row>
    <row r="38" spans="1:6" x14ac:dyDescent="0.45">
      <c r="A38">
        <v>200</v>
      </c>
      <c r="C38" t="str">
        <f t="shared" si="0"/>
        <v>buy_influence_drain_0200</v>
      </c>
      <c r="E38" s="2" t="str">
        <f t="shared" si="1"/>
        <v xml:space="preserve">buy_influence_drain_0200 = {
    icon = "gfx/interface/icons/modifiers/mod_country_previous_deals.dds"
    static_resource_minerals_add = -200
    static_resource_energy_add = -200
}
</v>
      </c>
      <c r="F38" t="str">
        <f t="shared" si="2"/>
        <v xml:space="preserve">remove_modifier = buy_influence_drain_0200
</v>
      </c>
    </row>
    <row r="39" spans="1:6" x14ac:dyDescent="0.45">
      <c r="A39">
        <v>210</v>
      </c>
      <c r="C39" t="str">
        <f t="shared" si="0"/>
        <v>buy_influence_drain_0210</v>
      </c>
      <c r="E39" s="2" t="str">
        <f t="shared" si="1"/>
        <v xml:space="preserve">buy_influence_drain_0210 = {
    icon = "gfx/interface/icons/modifiers/mod_country_previous_deals.dds"
    static_resource_minerals_add = -210
    static_resource_energy_add = -210
}
</v>
      </c>
      <c r="F39" t="str">
        <f t="shared" si="2"/>
        <v xml:space="preserve">remove_modifier = buy_influence_drain_0210
</v>
      </c>
    </row>
    <row r="40" spans="1:6" x14ac:dyDescent="0.45">
      <c r="A40">
        <v>240</v>
      </c>
      <c r="C40" t="str">
        <f t="shared" si="0"/>
        <v>buy_influence_drain_0240</v>
      </c>
      <c r="E40" s="2" t="str">
        <f t="shared" si="1"/>
        <v xml:space="preserve">buy_influence_drain_0240 = {
    icon = "gfx/interface/icons/modifiers/mod_country_previous_deals.dds"
    static_resource_minerals_add = -240
    static_resource_energy_add = -240
}
</v>
      </c>
      <c r="F40" t="str">
        <f t="shared" si="2"/>
        <v xml:space="preserve">remove_modifier = buy_influence_drain_0240
</v>
      </c>
    </row>
    <row r="41" spans="1:6" x14ac:dyDescent="0.45">
      <c r="A41">
        <v>250</v>
      </c>
      <c r="C41" t="str">
        <f t="shared" si="0"/>
        <v>buy_influence_drain_0250</v>
      </c>
      <c r="E41" s="2" t="str">
        <f t="shared" si="1"/>
        <v xml:space="preserve">buy_influence_drain_0250 = {
    icon = "gfx/interface/icons/modifiers/mod_country_previous_deals.dds"
    static_resource_minerals_add = -250
    static_resource_energy_add = -250
}
</v>
      </c>
      <c r="F41" t="str">
        <f t="shared" si="2"/>
        <v xml:space="preserve">remove_modifier = buy_influence_drain_0250
</v>
      </c>
    </row>
    <row r="42" spans="1:6" x14ac:dyDescent="0.45">
      <c r="A42">
        <v>270</v>
      </c>
      <c r="C42" t="str">
        <f t="shared" si="0"/>
        <v>buy_influence_drain_0270</v>
      </c>
      <c r="E42" s="2" t="str">
        <f t="shared" si="1"/>
        <v xml:space="preserve">buy_influence_drain_0270 = {
    icon = "gfx/interface/icons/modifiers/mod_country_previous_deals.dds"
    static_resource_minerals_add = -270
    static_resource_energy_add = -270
}
</v>
      </c>
      <c r="F42" t="str">
        <f t="shared" si="2"/>
        <v xml:space="preserve">remove_modifier = buy_influence_drain_0270
</v>
      </c>
    </row>
    <row r="43" spans="1:6" x14ac:dyDescent="0.45">
      <c r="A43">
        <v>280</v>
      </c>
      <c r="C43" t="str">
        <f t="shared" si="0"/>
        <v>buy_influence_drain_0280</v>
      </c>
      <c r="E43" s="2" t="str">
        <f t="shared" si="1"/>
        <v xml:space="preserve">buy_influence_drain_0280 = {
    icon = "gfx/interface/icons/modifiers/mod_country_previous_deals.dds"
    static_resource_minerals_add = -280
    static_resource_energy_add = -280
}
</v>
      </c>
      <c r="F43" t="str">
        <f t="shared" si="2"/>
        <v xml:space="preserve">remove_modifier = buy_influence_drain_0280
</v>
      </c>
    </row>
    <row r="44" spans="1:6" x14ac:dyDescent="0.45">
      <c r="A44">
        <v>300</v>
      </c>
      <c r="C44" t="str">
        <f t="shared" si="0"/>
        <v>buy_influence_drain_0300</v>
      </c>
      <c r="E44" s="2" t="str">
        <f t="shared" si="1"/>
        <v xml:space="preserve">buy_influence_drain_0300 = {
    icon = "gfx/interface/icons/modifiers/mod_country_previous_deals.dds"
    static_resource_minerals_add = -300
    static_resource_energy_add = -300
}
</v>
      </c>
      <c r="F44" t="str">
        <f t="shared" si="2"/>
        <v xml:space="preserve">remove_modifier = buy_influence_drain_0300
</v>
      </c>
    </row>
    <row r="45" spans="1:6" x14ac:dyDescent="0.45">
      <c r="A45">
        <v>320</v>
      </c>
      <c r="C45" t="str">
        <f t="shared" si="0"/>
        <v>buy_influence_drain_0320</v>
      </c>
      <c r="E45" s="2" t="str">
        <f t="shared" si="1"/>
        <v xml:space="preserve">buy_influence_drain_0320 = {
    icon = "gfx/interface/icons/modifiers/mod_country_previous_deals.dds"
    static_resource_minerals_add = -320
    static_resource_energy_add = -320
}
</v>
      </c>
      <c r="F45" t="str">
        <f t="shared" si="2"/>
        <v xml:space="preserve">remove_modifier = buy_influence_drain_0320
</v>
      </c>
    </row>
    <row r="46" spans="1:6" x14ac:dyDescent="0.45">
      <c r="A46">
        <v>350</v>
      </c>
      <c r="C46" t="str">
        <f t="shared" si="0"/>
        <v>buy_influence_drain_0350</v>
      </c>
      <c r="E46" s="2" t="str">
        <f t="shared" si="1"/>
        <v xml:space="preserve">buy_influence_drain_0350 = {
    icon = "gfx/interface/icons/modifiers/mod_country_previous_deals.dds"
    static_resource_minerals_add = -350
    static_resource_energy_add = -350
}
</v>
      </c>
      <c r="F46" t="str">
        <f t="shared" si="2"/>
        <v xml:space="preserve">remove_modifier = buy_influence_drain_0350
</v>
      </c>
    </row>
    <row r="47" spans="1:6" x14ac:dyDescent="0.45">
      <c r="A47">
        <v>360</v>
      </c>
      <c r="C47" t="str">
        <f t="shared" si="0"/>
        <v>buy_influence_drain_0360</v>
      </c>
      <c r="E47" s="2" t="str">
        <f t="shared" si="1"/>
        <v xml:space="preserve">buy_influence_drain_0360 = {
    icon = "gfx/interface/icons/modifiers/mod_country_previous_deals.dds"
    static_resource_minerals_add = -360
    static_resource_energy_add = -360
}
</v>
      </c>
      <c r="F47" t="str">
        <f t="shared" si="2"/>
        <v xml:space="preserve">remove_modifier = buy_influence_drain_0360
</v>
      </c>
    </row>
    <row r="48" spans="1:6" x14ac:dyDescent="0.45">
      <c r="A48">
        <v>400</v>
      </c>
      <c r="C48" t="str">
        <f t="shared" si="0"/>
        <v>buy_influence_drain_0400</v>
      </c>
      <c r="E48" s="2" t="str">
        <f t="shared" si="1"/>
        <v xml:space="preserve">buy_influence_drain_0400 = {
    icon = "gfx/interface/icons/modifiers/mod_country_previous_deals.dds"
    static_resource_minerals_add = -400
    static_resource_energy_add = -400
}
</v>
      </c>
      <c r="F48" t="str">
        <f t="shared" si="2"/>
        <v xml:space="preserve">remove_modifier = buy_influence_drain_0400
</v>
      </c>
    </row>
    <row r="49" spans="1:6" x14ac:dyDescent="0.45">
      <c r="A49">
        <v>420</v>
      </c>
      <c r="C49" t="str">
        <f t="shared" si="0"/>
        <v>buy_influence_drain_0420</v>
      </c>
      <c r="E49" s="2" t="str">
        <f t="shared" si="1"/>
        <v xml:space="preserve">buy_influence_drain_0420 = {
    icon = "gfx/interface/icons/modifiers/mod_country_previous_deals.dds"
    static_resource_minerals_add = -420
    static_resource_energy_add = -420
}
</v>
      </c>
      <c r="F49" t="str">
        <f t="shared" si="2"/>
        <v xml:space="preserve">remove_modifier = buy_influence_drain_0420
</v>
      </c>
    </row>
    <row r="50" spans="1:6" x14ac:dyDescent="0.45">
      <c r="A50">
        <v>450</v>
      </c>
      <c r="C50" t="str">
        <f t="shared" si="0"/>
        <v>buy_influence_drain_0450</v>
      </c>
      <c r="E50" s="2" t="str">
        <f t="shared" si="1"/>
        <v xml:space="preserve">buy_influence_drain_0450 = {
    icon = "gfx/interface/icons/modifiers/mod_country_previous_deals.dds"
    static_resource_minerals_add = -450
    static_resource_energy_add = -450
}
</v>
      </c>
      <c r="F50" t="str">
        <f t="shared" si="2"/>
        <v xml:space="preserve">remove_modifier = buy_influence_drain_0450
</v>
      </c>
    </row>
    <row r="51" spans="1:6" x14ac:dyDescent="0.45">
      <c r="A51">
        <v>480</v>
      </c>
      <c r="C51" t="str">
        <f t="shared" si="0"/>
        <v>buy_influence_drain_0480</v>
      </c>
      <c r="E51" s="2" t="str">
        <f t="shared" si="1"/>
        <v xml:space="preserve">buy_influence_drain_0480 = {
    icon = "gfx/interface/icons/modifiers/mod_country_previous_deals.dds"
    static_resource_minerals_add = -480
    static_resource_energy_add = -480
}
</v>
      </c>
      <c r="F51" t="str">
        <f t="shared" si="2"/>
        <v xml:space="preserve">remove_modifier = buy_influence_drain_0480
</v>
      </c>
    </row>
    <row r="52" spans="1:6" x14ac:dyDescent="0.45">
      <c r="A52">
        <v>500</v>
      </c>
      <c r="C52" t="str">
        <f t="shared" si="0"/>
        <v>buy_influence_drain_0500</v>
      </c>
      <c r="E52" s="2" t="str">
        <f t="shared" si="1"/>
        <v xml:space="preserve">buy_influence_drain_0500 = {
    icon = "gfx/interface/icons/modifiers/mod_country_previous_deals.dds"
    static_resource_minerals_add = -500
    static_resource_energy_add = -500
}
</v>
      </c>
      <c r="F52" t="str">
        <f t="shared" si="2"/>
        <v xml:space="preserve">remove_modifier = buy_influence_drain_0500
</v>
      </c>
    </row>
    <row r="53" spans="1:6" x14ac:dyDescent="0.45">
      <c r="A53">
        <v>540</v>
      </c>
      <c r="C53" t="str">
        <f t="shared" si="0"/>
        <v>buy_influence_drain_0540</v>
      </c>
      <c r="E53" s="2" t="str">
        <f t="shared" si="1"/>
        <v xml:space="preserve">buy_influence_drain_0540 = {
    icon = "gfx/interface/icons/modifiers/mod_country_previous_deals.dds"
    static_resource_minerals_add = -540
    static_resource_energy_add = -540
}
</v>
      </c>
      <c r="F53" t="str">
        <f t="shared" si="2"/>
        <v xml:space="preserve">remove_modifier = buy_influence_drain_0540
</v>
      </c>
    </row>
    <row r="54" spans="1:6" x14ac:dyDescent="0.45">
      <c r="A54">
        <v>560</v>
      </c>
      <c r="C54" t="str">
        <f t="shared" si="0"/>
        <v>buy_influence_drain_0560</v>
      </c>
      <c r="E54" s="2" t="str">
        <f t="shared" si="1"/>
        <v xml:space="preserve">buy_influence_drain_0560 = {
    icon = "gfx/interface/icons/modifiers/mod_country_previous_deals.dds"
    static_resource_minerals_add = -560
    static_resource_energy_add = -560
}
</v>
      </c>
      <c r="F54" t="str">
        <f t="shared" si="2"/>
        <v xml:space="preserve">remove_modifier = buy_influence_drain_0560
</v>
      </c>
    </row>
    <row r="55" spans="1:6" x14ac:dyDescent="0.45">
      <c r="A55">
        <v>600</v>
      </c>
      <c r="C55" t="str">
        <f t="shared" si="0"/>
        <v>buy_influence_drain_0600</v>
      </c>
      <c r="E55" s="2" t="str">
        <f t="shared" si="1"/>
        <v xml:space="preserve">buy_influence_drain_0600 = {
    icon = "gfx/interface/icons/modifiers/mod_country_previous_deals.dds"
    static_resource_minerals_add = -600
    static_resource_energy_add = -600
}
</v>
      </c>
      <c r="F55" t="str">
        <f t="shared" si="2"/>
        <v xml:space="preserve">remove_modifier = buy_influence_drain_0600
</v>
      </c>
    </row>
    <row r="56" spans="1:6" x14ac:dyDescent="0.45">
      <c r="A56">
        <v>640</v>
      </c>
      <c r="C56" t="str">
        <f t="shared" si="0"/>
        <v>buy_influence_drain_0640</v>
      </c>
      <c r="E56" s="2" t="str">
        <f t="shared" si="1"/>
        <v xml:space="preserve">buy_influence_drain_0640 = {
    icon = "gfx/interface/icons/modifiers/mod_country_previous_deals.dds"
    static_resource_minerals_add = -640
    static_resource_energy_add = -640
}
</v>
      </c>
      <c r="F56" t="str">
        <f t="shared" si="2"/>
        <v xml:space="preserve">remove_modifier = buy_influence_drain_0640
</v>
      </c>
    </row>
    <row r="57" spans="1:6" x14ac:dyDescent="0.45">
      <c r="A57">
        <v>700</v>
      </c>
      <c r="C57" t="str">
        <f t="shared" si="0"/>
        <v>buy_influence_drain_0700</v>
      </c>
      <c r="E57" s="2" t="str">
        <f t="shared" si="1"/>
        <v xml:space="preserve">buy_influence_drain_0700 = {
    icon = "gfx/interface/icons/modifiers/mod_country_previous_deals.dds"
    static_resource_minerals_add = -700
    static_resource_energy_add = -700
}
</v>
      </c>
      <c r="F57" t="str">
        <f t="shared" si="2"/>
        <v xml:space="preserve">remove_modifier = buy_influence_drain_0700
</v>
      </c>
    </row>
    <row r="58" spans="1:6" x14ac:dyDescent="0.45">
      <c r="A58">
        <v>720</v>
      </c>
      <c r="C58" t="str">
        <f t="shared" si="0"/>
        <v>buy_influence_drain_0720</v>
      </c>
      <c r="E58" s="2" t="str">
        <f t="shared" si="1"/>
        <v xml:space="preserve">buy_influence_drain_0720 = {
    icon = "gfx/interface/icons/modifiers/mod_country_previous_deals.dds"
    static_resource_minerals_add = -720
    static_resource_energy_add = -720
}
</v>
      </c>
      <c r="F58" t="str">
        <f t="shared" si="2"/>
        <v xml:space="preserve">remove_modifier = buy_influence_drain_0720
</v>
      </c>
    </row>
    <row r="59" spans="1:6" x14ac:dyDescent="0.45">
      <c r="A59">
        <v>750</v>
      </c>
      <c r="C59" t="str">
        <f t="shared" si="0"/>
        <v>buy_influence_drain_0750</v>
      </c>
      <c r="E59" s="2" t="str">
        <f t="shared" si="1"/>
        <v xml:space="preserve">buy_influence_drain_0750 = {
    icon = "gfx/interface/icons/modifiers/mod_country_previous_deals.dds"
    static_resource_minerals_add = -750
    static_resource_energy_add = -750
}
</v>
      </c>
      <c r="F59" t="str">
        <f t="shared" si="2"/>
        <v xml:space="preserve">remove_modifier = buy_influence_drain_0750
</v>
      </c>
    </row>
    <row r="60" spans="1:6" x14ac:dyDescent="0.45">
      <c r="A60">
        <v>800</v>
      </c>
      <c r="C60" t="str">
        <f t="shared" si="0"/>
        <v>buy_influence_drain_0800</v>
      </c>
      <c r="E60" s="2" t="str">
        <f t="shared" si="1"/>
        <v xml:space="preserve">buy_influence_drain_0800 = {
    icon = "gfx/interface/icons/modifiers/mod_country_previous_deals.dds"
    static_resource_minerals_add = -800
    static_resource_energy_add = -800
}
</v>
      </c>
      <c r="F60" t="str">
        <f t="shared" si="2"/>
        <v xml:space="preserve">remove_modifier = buy_influence_drain_0800
</v>
      </c>
    </row>
    <row r="61" spans="1:6" x14ac:dyDescent="0.45">
      <c r="A61">
        <v>900</v>
      </c>
      <c r="C61" t="str">
        <f t="shared" si="0"/>
        <v>buy_influence_drain_0900</v>
      </c>
      <c r="E61" s="2" t="str">
        <f t="shared" si="1"/>
        <v xml:space="preserve">buy_influence_drain_0900 = {
    icon = "gfx/interface/icons/modifiers/mod_country_previous_deals.dds"
    static_resource_minerals_add = -900
    static_resource_energy_add = -900
}
</v>
      </c>
      <c r="F61" t="str">
        <f t="shared" si="2"/>
        <v xml:space="preserve">remove_modifier = buy_influence_drain_0900
</v>
      </c>
    </row>
    <row r="62" spans="1:6" x14ac:dyDescent="0.45">
      <c r="A62">
        <v>1000</v>
      </c>
      <c r="C62" t="str">
        <f t="shared" si="0"/>
        <v>buy_influence_drain_1000</v>
      </c>
      <c r="E62" s="2" t="str">
        <f t="shared" si="1"/>
        <v xml:space="preserve">buy_influence_drain_1000 = {
    icon = "gfx/interface/icons/modifiers/mod_country_previous_deals.dds"
    static_resource_minerals_add = -1000
    static_resource_energy_add = -1000
}
</v>
      </c>
      <c r="F62" t="str">
        <f t="shared" si="2"/>
        <v xml:space="preserve">remove_modifier = buy_influence_drain_1000
</v>
      </c>
    </row>
    <row r="63" spans="1:6" x14ac:dyDescent="0.45">
      <c r="A63">
        <v>1050</v>
      </c>
      <c r="C63" t="str">
        <f t="shared" si="0"/>
        <v>buy_influence_drain_1050</v>
      </c>
      <c r="E63" s="2" t="str">
        <f t="shared" si="1"/>
        <v xml:space="preserve">buy_influence_drain_1050 = {
    icon = "gfx/interface/icons/modifiers/mod_country_previous_deals.dds"
    static_resource_minerals_add = -1050
    static_resource_energy_add = -1050
}
</v>
      </c>
      <c r="F63" t="str">
        <f t="shared" si="2"/>
        <v xml:space="preserve">remove_modifier = buy_influence_drain_1050
</v>
      </c>
    </row>
    <row r="64" spans="1:6" x14ac:dyDescent="0.45">
      <c r="A64">
        <v>1200</v>
      </c>
      <c r="C64" t="str">
        <f t="shared" si="0"/>
        <v>buy_influence_drain_1200</v>
      </c>
      <c r="E64" s="2" t="str">
        <f t="shared" si="1"/>
        <v xml:space="preserve">buy_influence_drain_1200 = {
    icon = "gfx/interface/icons/modifiers/mod_country_previous_deals.dds"
    static_resource_minerals_add = -1200
    static_resource_energy_add = -1200
}
</v>
      </c>
      <c r="F64" t="str">
        <f t="shared" si="2"/>
        <v xml:space="preserve">remove_modifier = buy_influence_drain_1200
</v>
      </c>
    </row>
    <row r="65" spans="1:6" x14ac:dyDescent="0.45">
      <c r="A65">
        <v>1350</v>
      </c>
      <c r="C65" t="str">
        <f t="shared" si="0"/>
        <v>buy_influence_drain_1350</v>
      </c>
      <c r="E65" s="2" t="str">
        <f t="shared" si="1"/>
        <v xml:space="preserve">buy_influence_drain_1350 = {
    icon = "gfx/interface/icons/modifiers/mod_country_previous_deals.dds"
    static_resource_minerals_add = -1350
    static_resource_energy_add = -1350
}
</v>
      </c>
      <c r="F65" t="str">
        <f t="shared" si="2"/>
        <v xml:space="preserve">remove_modifier = buy_influence_drain_1350
</v>
      </c>
    </row>
    <row r="66" spans="1:6" x14ac:dyDescent="0.45">
      <c r="A66">
        <v>1400</v>
      </c>
      <c r="C66" t="str">
        <f t="shared" si="0"/>
        <v>buy_influence_drain_1400</v>
      </c>
      <c r="E66" s="2" t="str">
        <f t="shared" si="1"/>
        <v xml:space="preserve">buy_influence_drain_1400 = {
    icon = "gfx/interface/icons/modifiers/mod_country_previous_deals.dds"
    static_resource_minerals_add = -1400
    static_resource_energy_add = -1400
}
</v>
      </c>
      <c r="F66" t="str">
        <f t="shared" si="2"/>
        <v xml:space="preserve">remove_modifier = buy_influence_drain_1400
</v>
      </c>
    </row>
    <row r="67" spans="1:6" x14ac:dyDescent="0.45">
      <c r="A67">
        <v>1500</v>
      </c>
      <c r="C67" t="str">
        <f t="shared" si="0"/>
        <v>buy_influence_drain_1500</v>
      </c>
      <c r="E67" s="2" t="str">
        <f t="shared" si="1"/>
        <v xml:space="preserve">buy_influence_drain_1500 = {
    icon = "gfx/interface/icons/modifiers/mod_country_previous_deals.dds"
    static_resource_minerals_add = -1500
    static_resource_energy_add = -1500
}
</v>
      </c>
      <c r="F67" t="str">
        <f t="shared" si="2"/>
        <v xml:space="preserve">remove_modifier = buy_influence_drain_1500
</v>
      </c>
    </row>
    <row r="68" spans="1:6" x14ac:dyDescent="0.45">
      <c r="A68">
        <v>1600</v>
      </c>
      <c r="C68" t="str">
        <f t="shared" ref="C68:C70" si="3">"buy_influence_drain_" &amp; IF(A68&lt;100,"00",IF(A68&lt;1000,"0","")) &amp; A68</f>
        <v>buy_influence_drain_1600</v>
      </c>
      <c r="E68" s="2" t="str">
        <f t="shared" ref="E68:E70" si="4">C68&amp; " = {
    icon = " &amp; """" &amp; "gfx/interface/icons/modifiers/mod_country_previous_deals.dds" &amp; """" &amp; "
    static_resource_minerals_add = -" &amp; A68 &amp; "
    static_resource_energy_add = -" &amp; A68 &amp; "
}
"</f>
        <v xml:space="preserve">buy_influence_drain_1600 = {
    icon = "gfx/interface/icons/modifiers/mod_country_previous_deals.dds"
    static_resource_minerals_add = -1600
    static_resource_energy_add = -1600
}
</v>
      </c>
      <c r="F68" t="str">
        <f t="shared" ref="F68:F70" si="5">"remove_modifier = " &amp; C68 &amp; "
"</f>
        <v xml:space="preserve">remove_modifier = buy_influence_drain_1600
</v>
      </c>
    </row>
    <row r="69" spans="1:6" x14ac:dyDescent="0.45">
      <c r="A69">
        <v>1800</v>
      </c>
      <c r="C69" t="str">
        <f t="shared" si="3"/>
        <v>buy_influence_drain_1800</v>
      </c>
      <c r="E69" s="2" t="str">
        <f t="shared" si="4"/>
        <v xml:space="preserve">buy_influence_drain_1800 = {
    icon = "gfx/interface/icons/modifiers/mod_country_previous_deals.dds"
    static_resource_minerals_add = -1800
    static_resource_energy_add = -1800
}
</v>
      </c>
      <c r="F69" t="str">
        <f t="shared" si="5"/>
        <v xml:space="preserve">remove_modifier = buy_influence_drain_1800
</v>
      </c>
    </row>
    <row r="70" spans="1:6" x14ac:dyDescent="0.45">
      <c r="A70">
        <v>2000</v>
      </c>
      <c r="C70" t="str">
        <f t="shared" si="3"/>
        <v>buy_influence_drain_2000</v>
      </c>
      <c r="E70" s="2" t="str">
        <f t="shared" si="4"/>
        <v xml:space="preserve">buy_influence_drain_2000 = {
    icon = "gfx/interface/icons/modifiers/mod_country_previous_deals.dds"
    static_resource_minerals_add = -2000
    static_resource_energy_add = -2000
}
</v>
      </c>
      <c r="F70" t="str">
        <f t="shared" si="5"/>
        <v xml:space="preserve">remove_modifier = buy_influence_drain_2000
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CodeGen</vt:lpstr>
      <vt:lpstr>base_cost_single_col</vt:lpstr>
      <vt:lpstr>base_costs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Jowett</dc:creator>
  <cp:lastModifiedBy>Jon Jowett</cp:lastModifiedBy>
  <dcterms:created xsi:type="dcterms:W3CDTF">2018-08-21T14:43:52Z</dcterms:created>
  <dcterms:modified xsi:type="dcterms:W3CDTF">2018-08-22T18:35:10Z</dcterms:modified>
</cp:coreProperties>
</file>