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8" windowWidth="18210" windowHeight="7433"/>
  </bookViews>
  <sheets>
    <sheet name="Main" sheetId="1" r:id="rId1"/>
    <sheet name="CodeGen" sheetId="4" r:id="rId2"/>
  </sheets>
  <functionGroups builtInGroupCount="17"/>
  <definedNames>
    <definedName name="base_cost_single_col">CodeGen!$A$3:$A$501</definedName>
    <definedName name="base_costs">Main!$D$4:$G$31</definedName>
  </definedNames>
  <calcPr calcId="144525"/>
</workbook>
</file>

<file path=xl/calcChain.xml><?xml version="1.0" encoding="utf-8"?>
<calcChain xmlns="http://schemas.openxmlformats.org/spreadsheetml/2006/main">
  <c r="X31" i="1" l="1"/>
  <c r="W31" i="1"/>
  <c r="V31" i="1"/>
  <c r="U31" i="1"/>
  <c r="X30" i="1"/>
  <c r="W30" i="1"/>
  <c r="V30" i="1"/>
  <c r="U30" i="1"/>
  <c r="X29" i="1"/>
  <c r="W29" i="1"/>
  <c r="V29" i="1"/>
  <c r="U29" i="1"/>
  <c r="X28" i="1"/>
  <c r="W28" i="1"/>
  <c r="V28" i="1"/>
  <c r="U28" i="1"/>
  <c r="X27" i="1"/>
  <c r="W27" i="1"/>
  <c r="V27" i="1"/>
  <c r="U27" i="1"/>
  <c r="X26" i="1"/>
  <c r="W26" i="1"/>
  <c r="V26" i="1"/>
  <c r="U26" i="1"/>
  <c r="X25" i="1"/>
  <c r="W25" i="1"/>
  <c r="V25" i="1"/>
  <c r="U25" i="1"/>
  <c r="X24" i="1"/>
  <c r="W24" i="1"/>
  <c r="V24" i="1"/>
  <c r="U24" i="1"/>
  <c r="X23" i="1"/>
  <c r="W23" i="1"/>
  <c r="V23" i="1"/>
  <c r="U23" i="1"/>
  <c r="X22" i="1"/>
  <c r="W22" i="1"/>
  <c r="V22" i="1"/>
  <c r="U22" i="1"/>
  <c r="X21" i="1"/>
  <c r="W21" i="1"/>
  <c r="V21" i="1"/>
  <c r="U21" i="1"/>
  <c r="X20" i="1"/>
  <c r="W20" i="1"/>
  <c r="V20" i="1"/>
  <c r="U20" i="1"/>
  <c r="X19" i="1"/>
  <c r="W19" i="1"/>
  <c r="V19" i="1"/>
  <c r="U19" i="1"/>
  <c r="X18" i="1"/>
  <c r="W18" i="1"/>
  <c r="V18" i="1"/>
  <c r="U18" i="1"/>
  <c r="X17" i="1"/>
  <c r="W17" i="1"/>
  <c r="V17" i="1"/>
  <c r="U17" i="1"/>
  <c r="X16" i="1"/>
  <c r="W16" i="1"/>
  <c r="V16" i="1"/>
  <c r="U16" i="1"/>
  <c r="X15" i="1"/>
  <c r="W15" i="1"/>
  <c r="V15" i="1"/>
  <c r="U15" i="1"/>
  <c r="X14" i="1"/>
  <c r="W14" i="1"/>
  <c r="V14" i="1"/>
  <c r="U14" i="1"/>
  <c r="X13" i="1"/>
  <c r="W13" i="1"/>
  <c r="V13" i="1"/>
  <c r="U13" i="1"/>
  <c r="X12" i="1"/>
  <c r="W12" i="1"/>
  <c r="V12" i="1"/>
  <c r="U12" i="1"/>
  <c r="X11" i="1"/>
  <c r="W11" i="1"/>
  <c r="V11" i="1"/>
  <c r="U11" i="1"/>
  <c r="X10" i="1"/>
  <c r="W10" i="1"/>
  <c r="V10" i="1"/>
  <c r="U10" i="1"/>
  <c r="X9" i="1"/>
  <c r="W9" i="1"/>
  <c r="V9" i="1"/>
  <c r="U9" i="1"/>
  <c r="X8" i="1"/>
  <c r="W8" i="1"/>
  <c r="V8" i="1"/>
  <c r="U8" i="1"/>
  <c r="X7" i="1"/>
  <c r="W7" i="1"/>
  <c r="V7" i="1"/>
  <c r="U7" i="1"/>
  <c r="X6" i="1"/>
  <c r="W6" i="1"/>
  <c r="V6" i="1"/>
  <c r="U6" i="1"/>
  <c r="X5" i="1"/>
  <c r="W5" i="1"/>
  <c r="V5" i="1"/>
  <c r="U5" i="1"/>
  <c r="X4" i="1"/>
  <c r="W4" i="1"/>
  <c r="V4" i="1"/>
  <c r="U4" i="1"/>
  <c r="L2" i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E66" i="4"/>
  <c r="C70" i="4"/>
  <c r="E70" i="4" s="1"/>
  <c r="C69" i="4"/>
  <c r="E69" i="4" s="1"/>
  <c r="C68" i="4"/>
  <c r="E68" i="4" s="1"/>
  <c r="C67" i="4"/>
  <c r="E67" i="4" s="1"/>
  <c r="C66" i="4"/>
  <c r="C65" i="4"/>
  <c r="E65" i="4" s="1"/>
  <c r="C64" i="4"/>
  <c r="E64" i="4" s="1"/>
  <c r="C63" i="4"/>
  <c r="E63" i="4" s="1"/>
  <c r="C62" i="4"/>
  <c r="E62" i="4" s="1"/>
  <c r="C61" i="4"/>
  <c r="E61" i="4" s="1"/>
  <c r="C60" i="4"/>
  <c r="E60" i="4" s="1"/>
  <c r="C59" i="4"/>
  <c r="E59" i="4" s="1"/>
  <c r="C58" i="4"/>
  <c r="E58" i="4" s="1"/>
  <c r="C57" i="4"/>
  <c r="E57" i="4" s="1"/>
  <c r="C56" i="4"/>
  <c r="E56" i="4" s="1"/>
  <c r="C55" i="4"/>
  <c r="E55" i="4" s="1"/>
  <c r="C54" i="4"/>
  <c r="E54" i="4" s="1"/>
  <c r="C53" i="4"/>
  <c r="E53" i="4" s="1"/>
  <c r="C52" i="4"/>
  <c r="E52" i="4" s="1"/>
  <c r="C51" i="4"/>
  <c r="E51" i="4" s="1"/>
  <c r="C50" i="4"/>
  <c r="E50" i="4" s="1"/>
  <c r="C49" i="4"/>
  <c r="E49" i="4" s="1"/>
  <c r="C48" i="4"/>
  <c r="E48" i="4" s="1"/>
  <c r="C47" i="4"/>
  <c r="E47" i="4" s="1"/>
  <c r="C46" i="4"/>
  <c r="E46" i="4" s="1"/>
  <c r="C45" i="4"/>
  <c r="E45" i="4" s="1"/>
  <c r="C44" i="4"/>
  <c r="E44" i="4" s="1"/>
  <c r="C43" i="4"/>
  <c r="E43" i="4" s="1"/>
  <c r="C42" i="4"/>
  <c r="E42" i="4" s="1"/>
  <c r="C41" i="4"/>
  <c r="E41" i="4" s="1"/>
  <c r="C40" i="4"/>
  <c r="E40" i="4" s="1"/>
  <c r="C39" i="4"/>
  <c r="E39" i="4" s="1"/>
  <c r="C38" i="4"/>
  <c r="E38" i="4" s="1"/>
  <c r="C37" i="4"/>
  <c r="E37" i="4" s="1"/>
  <c r="C36" i="4"/>
  <c r="E36" i="4" s="1"/>
  <c r="C35" i="4"/>
  <c r="E35" i="4" s="1"/>
  <c r="C34" i="4"/>
  <c r="E34" i="4" s="1"/>
  <c r="C33" i="4"/>
  <c r="E33" i="4" s="1"/>
  <c r="C32" i="4"/>
  <c r="E32" i="4" s="1"/>
  <c r="C31" i="4"/>
  <c r="E31" i="4" s="1"/>
  <c r="C30" i="4"/>
  <c r="E30" i="4" s="1"/>
  <c r="C29" i="4"/>
  <c r="E29" i="4" s="1"/>
  <c r="C28" i="4"/>
  <c r="E28" i="4" s="1"/>
  <c r="C27" i="4"/>
  <c r="E27" i="4" s="1"/>
  <c r="C26" i="4"/>
  <c r="E26" i="4" s="1"/>
  <c r="C25" i="4"/>
  <c r="E25" i="4" s="1"/>
  <c r="C24" i="4"/>
  <c r="E24" i="4" s="1"/>
  <c r="C23" i="4"/>
  <c r="E23" i="4" s="1"/>
  <c r="C22" i="4"/>
  <c r="E22" i="4" s="1"/>
  <c r="C21" i="4"/>
  <c r="E21" i="4" s="1"/>
  <c r="C20" i="4"/>
  <c r="E20" i="4" s="1"/>
  <c r="C19" i="4"/>
  <c r="E19" i="4" s="1"/>
  <c r="C18" i="4"/>
  <c r="E18" i="4" s="1"/>
  <c r="C17" i="4"/>
  <c r="E17" i="4" s="1"/>
  <c r="C16" i="4"/>
  <c r="E16" i="4" s="1"/>
  <c r="C15" i="4"/>
  <c r="E15" i="4" s="1"/>
  <c r="C14" i="4"/>
  <c r="E14" i="4" s="1"/>
  <c r="C13" i="4"/>
  <c r="E13" i="4" s="1"/>
  <c r="C12" i="4"/>
  <c r="E12" i="4" s="1"/>
  <c r="C11" i="4"/>
  <c r="E11" i="4" s="1"/>
  <c r="C10" i="4"/>
  <c r="E10" i="4" s="1"/>
  <c r="C9" i="4"/>
  <c r="E9" i="4" s="1"/>
  <c r="C8" i="4"/>
  <c r="E8" i="4" s="1"/>
  <c r="C7" i="4"/>
  <c r="E7" i="4" s="1"/>
  <c r="C6" i="4"/>
  <c r="E6" i="4" s="1"/>
  <c r="C5" i="4"/>
  <c r="E5" i="4" s="1"/>
  <c r="C4" i="4"/>
  <c r="E4" i="4" s="1"/>
  <c r="C3" i="4"/>
  <c r="F3" i="4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A7" i="1"/>
  <c r="A8" i="1" s="1"/>
  <c r="A9" i="1" s="1"/>
  <c r="A6" i="1"/>
  <c r="B4" i="1"/>
  <c r="O2" i="1"/>
  <c r="N2" i="1"/>
  <c r="W1" i="1"/>
  <c r="V1" i="1"/>
  <c r="X1" i="1"/>
  <c r="U1" i="1"/>
  <c r="F2" i="4"/>
  <c r="E2" i="4"/>
  <c r="E3" i="4" l="1"/>
  <c r="D4" i="1" a="1"/>
  <c r="F31" i="1" s="1"/>
  <c r="P31" i="1" s="1"/>
  <c r="B7" i="1"/>
  <c r="A10" i="1"/>
  <c r="B5" i="1"/>
  <c r="B6" i="1"/>
  <c r="P2" i="1"/>
  <c r="B8" i="1" l="1"/>
  <c r="O9" i="1"/>
  <c r="N9" i="1"/>
  <c r="F6" i="1"/>
  <c r="P6" i="1" s="1"/>
  <c r="G12" i="1"/>
  <c r="E7" i="1"/>
  <c r="O7" i="1" s="1"/>
  <c r="E9" i="1"/>
  <c r="D5" i="1"/>
  <c r="N5" i="1" s="1"/>
  <c r="G11" i="1"/>
  <c r="D14" i="1"/>
  <c r="E4" i="1"/>
  <c r="O4" i="1" s="1"/>
  <c r="G28" i="1"/>
  <c r="F17" i="1"/>
  <c r="D19" i="1"/>
  <c r="E18" i="1"/>
  <c r="D21" i="1"/>
  <c r="G13" i="1"/>
  <c r="F19" i="1"/>
  <c r="G16" i="1"/>
  <c r="D9" i="1"/>
  <c r="D25" i="1"/>
  <c r="E13" i="1"/>
  <c r="E29" i="1"/>
  <c r="G17" i="1"/>
  <c r="D4" i="1"/>
  <c r="N4" i="1" s="1"/>
  <c r="D20" i="1"/>
  <c r="E8" i="1"/>
  <c r="O8" i="1" s="1"/>
  <c r="E24" i="1"/>
  <c r="F7" i="1"/>
  <c r="P7" i="1" s="1"/>
  <c r="F23" i="1"/>
  <c r="G27" i="1"/>
  <c r="G14" i="1"/>
  <c r="G29" i="1"/>
  <c r="D23" i="1"/>
  <c r="E27" i="1"/>
  <c r="D18" i="1"/>
  <c r="E22" i="1"/>
  <c r="F21" i="1"/>
  <c r="G18" i="1"/>
  <c r="G20" i="1"/>
  <c r="E15" i="1"/>
  <c r="G19" i="1"/>
  <c r="D22" i="1"/>
  <c r="E10" i="1"/>
  <c r="F9" i="1"/>
  <c r="P9" i="1" s="1"/>
  <c r="F25" i="1"/>
  <c r="G15" i="1"/>
  <c r="E23" i="1"/>
  <c r="G30" i="1"/>
  <c r="D16" i="1"/>
  <c r="E11" i="1"/>
  <c r="E6" i="1"/>
  <c r="O6" i="1" s="1"/>
  <c r="D11" i="1"/>
  <c r="D27" i="1"/>
  <c r="E31" i="1"/>
  <c r="O31" i="1" s="1"/>
  <c r="D6" i="1"/>
  <c r="N6" i="1" s="1"/>
  <c r="E26" i="1"/>
  <c r="G6" i="1"/>
  <c r="Q6" i="1" s="1"/>
  <c r="G22" i="1"/>
  <c r="D13" i="1"/>
  <c r="E17" i="1"/>
  <c r="G21" i="1"/>
  <c r="D8" i="1"/>
  <c r="N8" i="1" s="1"/>
  <c r="E12" i="1"/>
  <c r="E28" i="1"/>
  <c r="F27" i="1"/>
  <c r="G8" i="1"/>
  <c r="Q8" i="1" s="1"/>
  <c r="G24" i="1"/>
  <c r="D15" i="1"/>
  <c r="D31" i="1"/>
  <c r="N31" i="1" s="1"/>
  <c r="E19" i="1"/>
  <c r="G7" i="1"/>
  <c r="Q7" i="1" s="1"/>
  <c r="G23" i="1"/>
  <c r="D10" i="1"/>
  <c r="D26" i="1"/>
  <c r="E14" i="1"/>
  <c r="E30" i="1"/>
  <c r="F13" i="1"/>
  <c r="F29" i="1"/>
  <c r="D30" i="1"/>
  <c r="E25" i="1"/>
  <c r="E20" i="1"/>
  <c r="D7" i="1"/>
  <c r="N7" i="1" s="1"/>
  <c r="G31" i="1"/>
  <c r="Q31" i="1" s="1"/>
  <c r="F5" i="1"/>
  <c r="P5" i="1" s="1"/>
  <c r="D29" i="1"/>
  <c r="G5" i="1"/>
  <c r="Q5" i="1" s="1"/>
  <c r="D24" i="1"/>
  <c r="F11" i="1"/>
  <c r="G10" i="1"/>
  <c r="G26" i="1"/>
  <c r="D17" i="1"/>
  <c r="E5" i="1"/>
  <c r="O5" i="1" s="1"/>
  <c r="E21" i="1"/>
  <c r="G9" i="1"/>
  <c r="Q9" i="1" s="1"/>
  <c r="G25" i="1"/>
  <c r="D12" i="1"/>
  <c r="D28" i="1"/>
  <c r="E16" i="1"/>
  <c r="F4" i="1"/>
  <c r="P4" i="1" s="1"/>
  <c r="F15" i="1"/>
  <c r="G4" i="1"/>
  <c r="Q4" i="1" s="1"/>
  <c r="F22" i="1"/>
  <c r="F24" i="1"/>
  <c r="F10" i="1"/>
  <c r="F26" i="1"/>
  <c r="F12" i="1"/>
  <c r="F28" i="1"/>
  <c r="F8" i="1"/>
  <c r="P8" i="1" s="1"/>
  <c r="F16" i="1"/>
  <c r="F14" i="1"/>
  <c r="F30" i="1"/>
  <c r="F18" i="1"/>
  <c r="F20" i="1"/>
  <c r="A11" i="1"/>
  <c r="Q2" i="1"/>
  <c r="B9" i="1" l="1"/>
  <c r="Q10" i="1"/>
  <c r="P10" i="1"/>
  <c r="N10" i="1"/>
  <c r="O10" i="1"/>
  <c r="A12" i="1"/>
  <c r="B10" i="1"/>
  <c r="Q11" i="1" l="1"/>
  <c r="P11" i="1"/>
  <c r="O11" i="1"/>
  <c r="N11" i="1"/>
  <c r="A13" i="1"/>
  <c r="B11" i="1"/>
  <c r="Q12" i="1" l="1"/>
  <c r="O12" i="1"/>
  <c r="P12" i="1"/>
  <c r="N12" i="1"/>
  <c r="A14" i="1"/>
  <c r="B12" i="1"/>
  <c r="Q13" i="1" l="1"/>
  <c r="P13" i="1"/>
  <c r="O13" i="1"/>
  <c r="N13" i="1"/>
  <c r="B13" i="1"/>
  <c r="A15" i="1"/>
  <c r="Q14" i="1" l="1"/>
  <c r="O14" i="1"/>
  <c r="P14" i="1"/>
  <c r="N14" i="1"/>
  <c r="A16" i="1"/>
  <c r="B14" i="1"/>
  <c r="Q15" i="1" l="1"/>
  <c r="P15" i="1"/>
  <c r="O15" i="1"/>
  <c r="N15" i="1"/>
  <c r="B15" i="1"/>
  <c r="A17" i="1"/>
  <c r="Q16" i="1" l="1"/>
  <c r="P16" i="1"/>
  <c r="O16" i="1"/>
  <c r="N16" i="1"/>
  <c r="B16" i="1"/>
  <c r="A18" i="1"/>
  <c r="Q17" i="1" l="1"/>
  <c r="P17" i="1"/>
  <c r="O17" i="1"/>
  <c r="N17" i="1"/>
  <c r="J4" i="1"/>
  <c r="J12" i="1"/>
  <c r="J20" i="1"/>
  <c r="J60" i="1"/>
  <c r="J11" i="1"/>
  <c r="J61" i="1"/>
  <c r="J10" i="1"/>
  <c r="J23" i="1"/>
  <c r="B17" i="1"/>
  <c r="J15" i="1"/>
  <c r="J8" i="1"/>
  <c r="J14" i="1"/>
  <c r="J37" i="1"/>
  <c r="J54" i="1"/>
  <c r="J62" i="1"/>
  <c r="J46" i="1"/>
  <c r="J36" i="1"/>
  <c r="J68" i="1"/>
  <c r="J19" i="1"/>
  <c r="J40" i="1"/>
  <c r="J48" i="1"/>
  <c r="J29" i="1"/>
  <c r="J22" i="1"/>
  <c r="J30" i="1"/>
  <c r="J38" i="1"/>
  <c r="J41" i="1"/>
  <c r="J44" i="1"/>
  <c r="J7" i="1"/>
  <c r="J47" i="1"/>
  <c r="J18" i="1"/>
  <c r="J13" i="1"/>
  <c r="J25" i="1"/>
  <c r="J53" i="1"/>
  <c r="J52" i="1"/>
  <c r="J63" i="1"/>
  <c r="J5" i="1"/>
  <c r="J9" i="1"/>
  <c r="J17" i="1"/>
  <c r="J57" i="1"/>
  <c r="J39" i="1"/>
  <c r="J34" i="1"/>
  <c r="J6" i="1"/>
  <c r="J24" i="1"/>
  <c r="J32" i="1"/>
  <c r="J55" i="1"/>
  <c r="J3" i="1"/>
  <c r="J58" i="1"/>
  <c r="J66" i="1"/>
  <c r="J33" i="1"/>
  <c r="J65" i="1"/>
  <c r="J16" i="1"/>
  <c r="J31" i="1"/>
  <c r="J45" i="1"/>
  <c r="A19" i="1"/>
  <c r="J27" i="1"/>
  <c r="J59" i="1"/>
  <c r="J67" i="1"/>
  <c r="J21" i="1"/>
  <c r="J49" i="1"/>
  <c r="J42" i="1"/>
  <c r="J35" i="1"/>
  <c r="J43" i="1"/>
  <c r="J51" i="1"/>
  <c r="J28" i="1"/>
  <c r="J50" i="1"/>
  <c r="J26" i="1"/>
  <c r="J56" i="1"/>
  <c r="J64" i="1"/>
  <c r="Q18" i="1" l="1"/>
  <c r="O18" i="1"/>
  <c r="P18" i="1"/>
  <c r="N18" i="1"/>
  <c r="A20" i="1"/>
  <c r="B18" i="1"/>
  <c r="Q19" i="1" l="1"/>
  <c r="P19" i="1"/>
  <c r="O19" i="1"/>
  <c r="N19" i="1"/>
  <c r="A21" i="1"/>
  <c r="B19" i="1"/>
  <c r="O20" i="1" l="1"/>
  <c r="Q20" i="1"/>
  <c r="P20" i="1"/>
  <c r="N20" i="1"/>
  <c r="B20" i="1"/>
  <c r="A22" i="1"/>
  <c r="Q21" i="1" l="1"/>
  <c r="P21" i="1"/>
  <c r="O21" i="1"/>
  <c r="N21" i="1"/>
  <c r="A23" i="1"/>
  <c r="B21" i="1"/>
  <c r="Q22" i="1" l="1"/>
  <c r="O22" i="1"/>
  <c r="P22" i="1"/>
  <c r="N22" i="1"/>
  <c r="A24" i="1"/>
  <c r="B22" i="1"/>
  <c r="Q23" i="1" l="1"/>
  <c r="P23" i="1"/>
  <c r="O23" i="1"/>
  <c r="N23" i="1"/>
  <c r="J70" i="1"/>
  <c r="J72" i="1"/>
  <c r="J75" i="1"/>
  <c r="J71" i="1"/>
  <c r="J78" i="1"/>
  <c r="J74" i="1"/>
  <c r="J69" i="1"/>
  <c r="J73" i="1"/>
  <c r="J76" i="1"/>
  <c r="J77" i="1"/>
  <c r="A25" i="1"/>
  <c r="B23" i="1"/>
  <c r="Q24" i="1" l="1"/>
  <c r="P24" i="1"/>
  <c r="O24" i="1"/>
  <c r="N24" i="1"/>
  <c r="J80" i="1"/>
  <c r="J79" i="1"/>
  <c r="J84" i="1"/>
  <c r="J86" i="1"/>
  <c r="J82" i="1"/>
  <c r="J81" i="1"/>
  <c r="J90" i="1"/>
  <c r="J85" i="1"/>
  <c r="J92" i="1"/>
  <c r="J91" i="1"/>
  <c r="J87" i="1"/>
  <c r="J83" i="1"/>
  <c r="J89" i="1"/>
  <c r="J88" i="1"/>
  <c r="B24" i="1"/>
  <c r="A26" i="1"/>
  <c r="Q25" i="1" l="1"/>
  <c r="P25" i="1"/>
  <c r="O25" i="1"/>
  <c r="N25" i="1"/>
  <c r="B25" i="1"/>
  <c r="A27" i="1"/>
  <c r="J208" i="1"/>
  <c r="J212" i="1"/>
  <c r="J163" i="1"/>
  <c r="J174" i="1"/>
  <c r="J104" i="1"/>
  <c r="J121" i="1"/>
  <c r="J131" i="1"/>
  <c r="J155" i="1"/>
  <c r="J159" i="1"/>
  <c r="J102" i="1"/>
  <c r="J109" i="1"/>
  <c r="J194" i="1"/>
  <c r="J171" i="1"/>
  <c r="J153" i="1"/>
  <c r="J197" i="1"/>
  <c r="J123" i="1"/>
  <c r="J207" i="1"/>
  <c r="J125" i="1"/>
  <c r="J129" i="1"/>
  <c r="J189" i="1"/>
  <c r="J145" i="1"/>
  <c r="J97" i="1"/>
  <c r="J187" i="1"/>
  <c r="J146" i="1"/>
  <c r="J142" i="1"/>
  <c r="J147" i="1"/>
  <c r="J151" i="1"/>
  <c r="J117" i="1"/>
  <c r="J201" i="1"/>
  <c r="J122" i="1"/>
  <c r="J160" i="1"/>
  <c r="J200" i="1"/>
  <c r="J156" i="1"/>
  <c r="J183" i="1"/>
  <c r="J166" i="1"/>
  <c r="J108" i="1"/>
  <c r="J209" i="1"/>
  <c r="J112" i="1"/>
  <c r="J115" i="1"/>
  <c r="J138" i="1"/>
  <c r="J127" i="1"/>
  <c r="J134" i="1"/>
  <c r="J148" i="1"/>
  <c r="J168" i="1"/>
  <c r="J195" i="1"/>
  <c r="J114" i="1"/>
  <c r="J169" i="1"/>
  <c r="J120" i="1"/>
  <c r="J94" i="1"/>
  <c r="J162" i="1"/>
  <c r="J178" i="1"/>
  <c r="J152" i="1"/>
  <c r="J141" i="1"/>
  <c r="J205" i="1"/>
  <c r="J190" i="1"/>
  <c r="J204" i="1"/>
  <c r="J210" i="1"/>
  <c r="J137" i="1"/>
  <c r="J95" i="1"/>
  <c r="J193" i="1"/>
  <c r="J124" i="1"/>
  <c r="J96" i="1"/>
  <c r="J126" i="1"/>
  <c r="J140" i="1"/>
  <c r="J180" i="1"/>
  <c r="J111" i="1"/>
  <c r="J130" i="1"/>
  <c r="J107" i="1"/>
  <c r="J144" i="1"/>
  <c r="J172" i="1"/>
  <c r="J101" i="1"/>
  <c r="J184" i="1"/>
  <c r="J164" i="1"/>
  <c r="J150" i="1"/>
  <c r="J100" i="1"/>
  <c r="J119" i="1"/>
  <c r="J185" i="1"/>
  <c r="J116" i="1"/>
  <c r="J186" i="1"/>
  <c r="J93" i="1"/>
  <c r="J196" i="1"/>
  <c r="J175" i="1"/>
  <c r="J135" i="1"/>
  <c r="J173" i="1"/>
  <c r="J98" i="1"/>
  <c r="J191" i="1"/>
  <c r="J128" i="1"/>
  <c r="J177" i="1"/>
  <c r="J154" i="1"/>
  <c r="J133" i="1"/>
  <c r="J181" i="1"/>
  <c r="J106" i="1"/>
  <c r="J136" i="1"/>
  <c r="J118" i="1"/>
  <c r="J203" i="1"/>
  <c r="J199" i="1"/>
  <c r="J103" i="1"/>
  <c r="J105" i="1"/>
  <c r="J143" i="1"/>
  <c r="J182" i="1"/>
  <c r="J158" i="1"/>
  <c r="J99" i="1"/>
  <c r="J192" i="1"/>
  <c r="J167" i="1"/>
  <c r="J179" i="1"/>
  <c r="J202" i="1"/>
  <c r="J149" i="1"/>
  <c r="J132" i="1"/>
  <c r="J206" i="1"/>
  <c r="J161" i="1"/>
  <c r="J113" i="1"/>
  <c r="J188" i="1"/>
  <c r="J211" i="1"/>
  <c r="J176" i="1"/>
  <c r="J157" i="1"/>
  <c r="J165" i="1"/>
  <c r="J110" i="1"/>
  <c r="J170" i="1"/>
  <c r="J198" i="1"/>
  <c r="J139" i="1"/>
  <c r="Q26" i="1" l="1"/>
  <c r="P26" i="1"/>
  <c r="O26" i="1"/>
  <c r="N26" i="1"/>
  <c r="A28" i="1"/>
  <c r="B26" i="1"/>
  <c r="Q27" i="1" l="1"/>
  <c r="P27" i="1"/>
  <c r="O27" i="1"/>
  <c r="N27" i="1"/>
  <c r="J225" i="1"/>
  <c r="J223" i="1"/>
  <c r="J228" i="1"/>
  <c r="J213" i="1"/>
  <c r="J234" i="1"/>
  <c r="J217" i="1"/>
  <c r="J226" i="1"/>
  <c r="J230" i="1"/>
  <c r="J218" i="1"/>
  <c r="J216" i="1"/>
  <c r="J215" i="1"/>
  <c r="J229" i="1"/>
  <c r="J233" i="1"/>
  <c r="J222" i="1"/>
  <c r="J220" i="1"/>
  <c r="J219" i="1"/>
  <c r="J232" i="1"/>
  <c r="J231" i="1"/>
  <c r="J227" i="1"/>
  <c r="J221" i="1"/>
  <c r="J224" i="1"/>
  <c r="J214" i="1"/>
  <c r="A29" i="1"/>
  <c r="B27" i="1"/>
  <c r="Q28" i="1" l="1"/>
  <c r="P28" i="1"/>
  <c r="O28" i="1"/>
  <c r="N28" i="1"/>
  <c r="J236" i="1"/>
  <c r="J235" i="1"/>
  <c r="J246" i="1"/>
  <c r="J265" i="1"/>
  <c r="J263" i="1"/>
  <c r="J237" i="1"/>
  <c r="J267" i="1"/>
  <c r="J271" i="1"/>
  <c r="J294" i="1"/>
  <c r="J287" i="1"/>
  <c r="J293" i="1"/>
  <c r="J241" i="1"/>
  <c r="J273" i="1"/>
  <c r="J259" i="1"/>
  <c r="J238" i="1"/>
  <c r="J247" i="1"/>
  <c r="J257" i="1"/>
  <c r="J292" i="1"/>
  <c r="J275" i="1"/>
  <c r="J258" i="1"/>
  <c r="J240" i="1"/>
  <c r="J256" i="1"/>
  <c r="J289" i="1"/>
  <c r="J295" i="1"/>
  <c r="J261" i="1"/>
  <c r="J272" i="1"/>
  <c r="J250" i="1"/>
  <c r="J248" i="1"/>
  <c r="J280" i="1"/>
  <c r="J281" i="1"/>
  <c r="J255" i="1"/>
  <c r="J268" i="1"/>
  <c r="J245" i="1"/>
  <c r="J277" i="1"/>
  <c r="J269" i="1"/>
  <c r="J252" i="1"/>
  <c r="J243" i="1"/>
  <c r="J282" i="1"/>
  <c r="J262" i="1"/>
  <c r="J278" i="1"/>
  <c r="J249" i="1"/>
  <c r="J276" i="1"/>
  <c r="J291" i="1"/>
  <c r="J288" i="1"/>
  <c r="J296" i="1"/>
  <c r="J283" i="1"/>
  <c r="J264" i="1"/>
  <c r="J284" i="1"/>
  <c r="J260" i="1"/>
  <c r="J270" i="1"/>
  <c r="J242" i="1"/>
  <c r="J251" i="1"/>
  <c r="J290" i="1"/>
  <c r="J285" i="1"/>
  <c r="J253" i="1"/>
  <c r="J279" i="1"/>
  <c r="J254" i="1"/>
  <c r="J274" i="1"/>
  <c r="J266" i="1"/>
  <c r="J239" i="1"/>
  <c r="J286" i="1"/>
  <c r="J244" i="1"/>
  <c r="A30" i="1"/>
  <c r="B28" i="1"/>
  <c r="Q29" i="1" l="1"/>
  <c r="P29" i="1"/>
  <c r="O29" i="1"/>
  <c r="N29" i="1"/>
  <c r="B29" i="1"/>
  <c r="A31" i="1"/>
  <c r="J342" i="1"/>
  <c r="J455" i="1"/>
  <c r="J398" i="1"/>
  <c r="J338" i="1"/>
  <c r="J359" i="1"/>
  <c r="J374" i="1"/>
  <c r="J463" i="1"/>
  <c r="J351" i="1"/>
  <c r="J411" i="1"/>
  <c r="J420" i="1"/>
  <c r="J413" i="1"/>
  <c r="J401" i="1"/>
  <c r="J485" i="1"/>
  <c r="J493" i="1"/>
  <c r="J339" i="1"/>
  <c r="J329" i="1"/>
  <c r="J300" i="1"/>
  <c r="J404" i="1"/>
  <c r="J414" i="1"/>
  <c r="J332" i="1"/>
  <c r="J449" i="1"/>
  <c r="J500" i="1"/>
  <c r="J391" i="1"/>
  <c r="J323" i="1"/>
  <c r="J355" i="1"/>
  <c r="J474" i="1"/>
  <c r="J461" i="1"/>
  <c r="J313" i="1"/>
  <c r="J457" i="1"/>
  <c r="J370" i="1"/>
  <c r="J360" i="1"/>
  <c r="J488" i="1"/>
  <c r="J472" i="1"/>
  <c r="J450" i="1"/>
  <c r="J341" i="1"/>
  <c r="J431" i="1"/>
  <c r="J460" i="1"/>
  <c r="J381" i="1"/>
  <c r="J316" i="1"/>
  <c r="J456" i="1"/>
  <c r="J314" i="1"/>
  <c r="J356" i="1"/>
  <c r="J301" i="1"/>
  <c r="J322" i="1"/>
  <c r="J408" i="1"/>
  <c r="J375" i="1"/>
  <c r="J489" i="1"/>
  <c r="J412" i="1"/>
  <c r="J418" i="1"/>
  <c r="J434" i="1"/>
  <c r="J330" i="1"/>
  <c r="J388" i="1"/>
  <c r="J487" i="1"/>
  <c r="J467" i="1"/>
  <c r="J394" i="1"/>
  <c r="J349" i="1"/>
  <c r="J477" i="1"/>
  <c r="J319" i="1"/>
  <c r="J337" i="1"/>
  <c r="J345" i="1"/>
  <c r="J321" i="1"/>
  <c r="J383" i="1"/>
  <c r="J445" i="1"/>
  <c r="J415" i="1"/>
  <c r="J352" i="1"/>
  <c r="J402" i="1"/>
  <c r="J297" i="1"/>
  <c r="J393" i="1"/>
  <c r="J378" i="1"/>
  <c r="J400" i="1"/>
  <c r="J384" i="1"/>
  <c r="J371" i="1"/>
  <c r="J346" i="1"/>
  <c r="J366" i="1"/>
  <c r="J304" i="1"/>
  <c r="J479" i="1"/>
  <c r="J484" i="1"/>
  <c r="J307" i="1"/>
  <c r="J436" i="1"/>
  <c r="J502" i="1"/>
  <c r="J343" i="1"/>
  <c r="J423" i="1"/>
  <c r="J358" i="1"/>
  <c r="J494" i="1"/>
  <c r="J497" i="1"/>
  <c r="J471" i="1"/>
  <c r="J495" i="1"/>
  <c r="J473" i="1"/>
  <c r="J335" i="1"/>
  <c r="J452" i="1"/>
  <c r="J372" i="1"/>
  <c r="J380" i="1"/>
  <c r="J407" i="1"/>
  <c r="J390" i="1"/>
  <c r="J448" i="1"/>
  <c r="J439" i="1"/>
  <c r="J433" i="1"/>
  <c r="J331" i="1"/>
  <c r="J365" i="1"/>
  <c r="J382" i="1"/>
  <c r="J437" i="1"/>
  <c r="J438" i="1"/>
  <c r="J315" i="1"/>
  <c r="J306" i="1"/>
  <c r="J299" i="1"/>
  <c r="J417" i="1"/>
  <c r="J466" i="1"/>
  <c r="J333" i="1"/>
  <c r="J362" i="1"/>
  <c r="J427" i="1"/>
  <c r="J373" i="1"/>
  <c r="J376" i="1"/>
  <c r="J416" i="1"/>
  <c r="J478" i="1"/>
  <c r="J387" i="1"/>
  <c r="J490" i="1"/>
  <c r="J469" i="1"/>
  <c r="J447" i="1"/>
  <c r="J326" i="1"/>
  <c r="J328" i="1"/>
  <c r="J486" i="1"/>
  <c r="J363" i="1"/>
  <c r="J305" i="1"/>
  <c r="J347" i="1"/>
  <c r="J453" i="1"/>
  <c r="J385" i="1"/>
  <c r="J468" i="1"/>
  <c r="J311" i="1"/>
  <c r="J435" i="1"/>
  <c r="J405" i="1"/>
  <c r="J303" i="1"/>
  <c r="J464" i="1"/>
  <c r="J492" i="1"/>
  <c r="J364" i="1"/>
  <c r="J432" i="1"/>
  <c r="J302" i="1"/>
  <c r="J327" i="1"/>
  <c r="J389" i="1"/>
  <c r="J344" i="1"/>
  <c r="J426" i="1"/>
  <c r="J498" i="1"/>
  <c r="J442" i="1"/>
  <c r="J310" i="1"/>
  <c r="J430" i="1"/>
  <c r="J348" i="1"/>
  <c r="J481" i="1"/>
  <c r="J406" i="1"/>
  <c r="J454" i="1"/>
  <c r="J462" i="1"/>
  <c r="J475" i="1"/>
  <c r="J336" i="1"/>
  <c r="J419" i="1"/>
  <c r="J403" i="1"/>
  <c r="J458" i="1"/>
  <c r="J482" i="1"/>
  <c r="J465" i="1"/>
  <c r="J324" i="1"/>
  <c r="J309" i="1"/>
  <c r="J441" i="1"/>
  <c r="J386" i="1"/>
  <c r="J354" i="1"/>
  <c r="J317" i="1"/>
  <c r="J480" i="1"/>
  <c r="J312" i="1"/>
  <c r="J396" i="1"/>
  <c r="J318" i="1"/>
  <c r="J308" i="1"/>
  <c r="J422" i="1"/>
  <c r="J425" i="1"/>
  <c r="J421" i="1"/>
  <c r="J444" i="1"/>
  <c r="J429" i="1"/>
  <c r="J298" i="1"/>
  <c r="J410" i="1"/>
  <c r="J340" i="1"/>
  <c r="J379" i="1"/>
  <c r="J350" i="1"/>
  <c r="J397" i="1"/>
  <c r="J443" i="1"/>
  <c r="J357" i="1"/>
  <c r="J368" i="1"/>
  <c r="J369" i="1"/>
  <c r="J320" i="1"/>
  <c r="J428" i="1"/>
  <c r="J496" i="1"/>
  <c r="J440" i="1"/>
  <c r="J451" i="1"/>
  <c r="J476" i="1"/>
  <c r="J395" i="1"/>
  <c r="J377" i="1"/>
  <c r="J424" i="1"/>
  <c r="J470" i="1"/>
  <c r="J353" i="1"/>
  <c r="J409" i="1"/>
  <c r="J325" i="1"/>
  <c r="J501" i="1"/>
  <c r="J392" i="1"/>
  <c r="J367" i="1"/>
  <c r="J499" i="1"/>
  <c r="J483" i="1"/>
  <c r="J491" i="1"/>
  <c r="J361" i="1"/>
  <c r="J399" i="1"/>
  <c r="J334" i="1"/>
  <c r="J446" i="1"/>
  <c r="J459" i="1"/>
  <c r="B30" i="1" l="1"/>
  <c r="Q30" i="1"/>
  <c r="P30" i="1"/>
  <c r="O30" i="1"/>
  <c r="N30" i="1"/>
  <c r="R2" i="1" l="1"/>
</calcChain>
</file>

<file path=xl/comments1.xml><?xml version="1.0" encoding="utf-8"?>
<comments xmlns="http://schemas.openxmlformats.org/spreadsheetml/2006/main">
  <authors>
    <author>Jon Jowett</author>
  </authors>
  <commentList>
    <comment ref="E2" authorId="0">
      <text>
        <r>
          <rPr>
            <sz val="9"/>
            <color indexed="81"/>
            <rFont val="Tahoma"/>
            <family val="2"/>
          </rPr>
          <t>Ctrl-q to copy</t>
        </r>
      </text>
    </comment>
    <comment ref="F2" authorId="0">
      <text>
        <r>
          <rPr>
            <sz val="9"/>
            <color indexed="81"/>
            <rFont val="Tahoma"/>
            <family val="2"/>
          </rPr>
          <t>Ctrl-q to copy</t>
        </r>
      </text>
    </comment>
  </commentList>
</comments>
</file>

<file path=xl/sharedStrings.xml><?xml version="1.0" encoding="utf-8"?>
<sst xmlns="http://schemas.openxmlformats.org/spreadsheetml/2006/main" count="17" uniqueCount="16">
  <si>
    <t>num_pops</t>
  </si>
  <si>
    <t>cost mult</t>
  </si>
  <si>
    <t>cost_mult</t>
  </si>
  <si>
    <t>between</t>
  </si>
  <si>
    <t>and</t>
  </si>
  <si>
    <t>base cost</t>
  </si>
  <si>
    <t>base_cost</t>
  </si>
  <si>
    <t>single_col</t>
  </si>
  <si>
    <t>static_modifiers</t>
  </si>
  <si>
    <t>remove modifiers</t>
  </si>
  <si>
    <t>modifier name</t>
  </si>
  <si>
    <t>buy_influence.200</t>
  </si>
  <si>
    <t>0point5</t>
  </si>
  <si>
    <t>1point0</t>
  </si>
  <si>
    <t>1point5</t>
  </si>
  <si>
    <t>2point0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</si>
</sst>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Alignment="1">
      <alignment horizontal="left"/>
    </xf>
    <xf numFmtId="0" fontId="0" fillId="0" borderId="0" xfId="0" applyAlignment="1"/>
    <xf numFmtId="0" fontId="0" fillId="11" borderId="0" xfId="0" applyFill="1" applyAlignment="1">
      <alignment horizontal="left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Main"/>
  <dimension ref="A1:X502"/>
  <sheetViews>
    <sheetView tabSelected="1" topLeftCell="K1" workbookViewId="0">
      <selection activeCell="R2" sqref="R2"/>
    </sheetView>
  </sheetViews>
  <sheetFormatPr defaultRowHeight="14.25" x14ac:dyDescent="0.45"/>
  <sheetData>
    <row r="1" spans="1:24" x14ac:dyDescent="0.45">
      <c r="N1" s="1" t="s">
        <v>11</v>
      </c>
      <c r="O1" s="1"/>
      <c r="P1" s="1"/>
      <c r="Q1" s="1"/>
      <c r="R1" s="1"/>
      <c r="U1" s="11" t="str">
        <f>CHAR(9) &amp; "option = {
" &amp; CHAR(9) &amp; CHAR(9) &amp; "name = buy_influence." &amp; U2 &amp; ".deal
" &amp; CHAR(9) &amp; CHAR(9) &amp; "response_text = buy_influence." &amp; U2 &amp; ".deal.reply
" &amp; CHAR(9) &amp; CHAR(9) &amp; "add_modifier = {
" &amp; CHAR(9) &amp; CHAR(9) &amp; CHAR(9) &amp; "modifier = ""buy_influence_" &amp; U3 &amp; """
" &amp; CHAR(9) &amp; CHAR(9) &amp; CHAR(9) &amp; "days = -1
" &amp; CHAR(9) &amp; CHAR(9) &amp; "}
" &amp; Concatenate_Column(U4:U31)
&amp; CHAR(9) &amp; "}
" &amp; CHAR(9) &amp; "
" &amp; CHAR(9) &amp; "option = {
" &amp; CHAR(9) &amp; CHAR(9) &amp; "name = NODEAL
" &amp; CHAR(9) &amp; CHAR(9) &amp; "default_hide_option = yes
" &amp; CHAR(9) &amp; CHAR(9) &amp; "response_text = buy_influence." &amp; U2 &amp; ".nodeal.reply
" &amp; CHAR(9) &amp; CHAR(9) &amp; "hidden_effect = {
" &amp; CHAR(9) &amp; CHAR(9) &amp; CHAR(9) &amp; "country_event = { id = buy_influence.100 }
" &amp; CHAR(9) &amp; CHAR(9) &amp; "}
" &amp; CHAR(9) &amp; "}
"</f>
        <v xml:space="preserve">	option = {
		name = buy_influence.205.deal
		response_text = buy_influence.205.deal.reply
		add_modifier = {
			modifier = "buy_influence_0point5"
			days = -1
		}
		if = {
			limit = { num_pops &lt; 42 }
			add_modifier = { modifier = "buy_influence_drain_0010" days = -1 }
		}
		else_if = {
			limit = { num_pops &lt; 54 }
			add_modifier = { modifier = "buy_influence_drain_0012" days = -1 }
		}
		else_if = {
			limit = { num_pops &lt; 66 }
			add_modifier = { modifier = "buy_influence_drain_0014" days = -1 }
		}
		else_if = {
			limit = { num_pops &lt; 78 }
			add_modifier = { modifier = "buy_influence_drain_0016" days = -1 }
		}
		else_if = {
			limit = { num_pops &lt; 90 }
			add_modifier = { modifier = "buy_influence_drain_0018" days = -1 }
		}
		else_if = {
			limit = { num_pops &lt; 120 }
			add_modifier = { modifier = "buy_influence_drain_0020" days = -1 }
		}
		else_if = {
			limit = { num_pops &lt; 150 }
			add_modifier = { modifier = "buy_influence_drain_0025" days = -1 }
		}
		else_if = {
			limit = { num_pops &lt; 180 }
			add_modifier = { modifier = "buy_influence_drain_0030" days = -1 }
		}
		else_if = {
			limit = { num_pops &lt; 210 }
			add_modifier = { modifier = "buy_influence_drain_0035" days = -1 }
		}
		else_if = {
			limit = { num_pops &lt; 240 }
			add_modifier = { modifier = "buy_influence_drain_0040" days = -1 }
		}
		else_if = {
			limit = { num_pops &lt; 270 }
			add_modifier = { modifier = "buy_influence_drain_0045" days = -1 }
		}
		else_if = {
			limit = { num_pops &lt; 330 }
			add_modifier = { modifier = "buy_influence_drain_0050" days = -1 }
		}
		else_if = {
			limit = { num_pops &lt; 390 }
			add_modifier = { modifier = "buy_influence_drain_0060" days = -1 }
		}
		else_if = {
			limit = { num_pops &lt; 450 }
			add_modifier = { modifier = "buy_influence_drain_0070" days = -1 }
		}
		else_if = {
			limit = { num_pops &lt; 510 }
			add_modifier = { modifier = "buy_influence_drain_0080" days = -1 }
		}
		else_if = {
			limit = { num_pops &lt; 570 }
			add_modifier = { modifier = "buy_influence_drain_0090" days = -1 }
		}
		else_if = {
			limit = { num_pops &lt; 690 }
			add_modifier = { modifier = "buy_influence_drain_0100" days = -1 }
		}
		else_if = {
			limit = { num_pops &lt; 810 }
			add_modifier = { modifier = "buy_influence_drain_0120" days = -1 }
		}
		else_if = {
			limit = { num_pops &lt; 930 }
			add_modifier = { modifier = "buy_influence_drain_0140" days = -1 }
		}
		else_if = {
			limit = { num_pops &lt; 1050 }
			add_modifier = { modifier = "buy_influence_drain_0160" days = -1 }
		}
		else_if = {
			limit = { num_pops &lt; 1170 }
			add_modifier = { modifier = "buy_influence_drain_0180" days = -1 }
		}
		else_if = {
			limit = { num_pops &lt; 1470 }
			add_modifier = { modifier = "buy_influence_drain_0200" days = -1 }
		}
		else_if = {
			limit = { num_pops &lt; 1770 }
			add_modifier = { modifier = "buy_influence_drain_0250" days = -1 }
		}
		else_if = {
			limit = { num_pops &lt; 2070 }
			add_modifier = { modifier = "buy_influence_drain_0300" days = -1 }
		}
		else_if = {
			limit = { num_pops &lt; 2370 }
			add_modifier = { modifier = "buy_influence_drain_0350" days = -1 }
		}
		else_if = {
			limit = { num_pops &lt; 2670 }
			add_modifier = { modifier = "buy_influence_drain_0400" days = -1 }
		}
		else_if = {
			limit = { num_pops &lt; 2970 }
			add_modifier = { modifier = "buy_influence_drain_0450" days = -1 }
		}
		else = {
			add_modifier = { modifier = "buy_influence_drain_0500" days = -1 }
		}
	}
	option = {
		name = NODEAL
		default_hide_option = yes
		response_text = buy_influence.205.nodeal.reply
		hidden_effect = {
			country_event = { id = buy_influence.100 }
		}
	}
</v>
      </c>
      <c r="V1" s="11" t="str">
        <f t="shared" ref="V1:X1" si="0">CHAR(9) &amp; "option = {
" &amp; CHAR(9) &amp; CHAR(9) &amp; "name = buy_influence." &amp; V2 &amp; ".deal
" &amp; CHAR(9) &amp; CHAR(9) &amp; "response_text = buy_influence." &amp; V2 &amp; ".deal.reply
" &amp; CHAR(9) &amp; CHAR(9) &amp; "add_modifier = {
" &amp; CHAR(9) &amp; CHAR(9) &amp; CHAR(9) &amp; "modifier = ""buy_influence_" &amp; V3 &amp; """
" &amp; CHAR(9) &amp; CHAR(9) &amp; CHAR(9) &amp; "days = -1
" &amp; CHAR(9) &amp; CHAR(9) &amp; "}
" &amp; Concatenate_Column(V4:V31)
&amp; CHAR(9) &amp; "}
" &amp; CHAR(9) &amp; "
" &amp; CHAR(9) &amp; "option = {
" &amp; CHAR(9) &amp; CHAR(9) &amp; "name = NODEAL
" &amp; CHAR(9) &amp; CHAR(9) &amp; "default_hide_option = yes
" &amp; CHAR(9) &amp; CHAR(9) &amp; "response_text = buy_influence." &amp; V2 &amp; ".nodeal.reply
" &amp; CHAR(9) &amp; CHAR(9) &amp; "hidden_effect = {
" &amp; CHAR(9) &amp; CHAR(9) &amp; CHAR(9) &amp; "country_event = { id = buy_influence.100 }
" &amp; CHAR(9) &amp; CHAR(9) &amp; "}
" &amp; CHAR(9) &amp; "}
"</f>
        <v xml:space="preserve">	option = {
		name = buy_influence.210.deal
		response_text = buy_influence.210.deal.reply
		add_modifier = {
			modifier = "buy_influence_1point0"
			days = -1
		}
		if = {
			limit = { num_pops &lt; 42 }
			add_modifier = { modifier = "buy_influence_drain_0020" days = -1 }
		}
		else_if = {
			limit = { num_pops &lt; 54 }
			add_modifier = { modifier = "buy_influence_drain_0024" days = -1 }
		}
		else_if = {
			limit = { num_pops &lt; 66 }
			add_modifier = { modifier = "buy_influence_drain_0028" days = -1 }
		}
		else_if = {
			limit = { num_pops &lt; 78 }
			add_modifier = { modifier = "buy_influence_drain_0032" days = -1 }
		}
		else_if = {
			limit = { num_pops &lt; 90 }
			add_modifier = { modifier = "buy_influence_drain_0036" days = -1 }
		}
		else_if = {
			limit = { num_pops &lt; 120 }
			add_modifier = { modifier = "buy_influence_drain_0040" days = -1 }
		}
		else_if = {
			limit = { num_pops &lt; 150 }
			add_modifier = { modifier = "buy_influence_drain_0050" days = -1 }
		}
		else_if = {
			limit = { num_pops &lt; 180 }
			add_modifier = { modifier = "buy_influence_drain_0060" days = -1 }
		}
		else_if = {
			limit = { num_pops &lt; 210 }
			add_modifier = { modifier = "buy_influence_drain_0070" days = -1 }
		}
		else_if = {
			limit = { num_pops &lt; 240 }
			add_modifier = { modifier = "buy_influence_drain_0080" days = -1 }
		}
		else_if = {
			limit = { num_pops &lt; 270 }
			add_modifier = { modifier = "buy_influence_drain_0090" days = -1 }
		}
		else_if = {
			limit = { num_pops &lt; 330 }
			add_modifier = { modifier = "buy_influence_drain_0100" days = -1 }
		}
		else_if = {
			limit = { num_pops &lt; 390 }
			add_modifier = { modifier = "buy_influence_drain_0120" days = -1 }
		}
		else_if = {
			limit = { num_pops &lt; 450 }
			add_modifier = { modifier = "buy_influence_drain_0140" days = -1 }
		}
		else_if = {
			limit = { num_pops &lt; 510 }
			add_modifier = { modifier = "buy_influence_drain_0160" days = -1 }
		}
		else_if = {
			limit = { num_pops &lt; 570 }
			add_modifier = { modifier = "buy_influence_drain_0180" days = -1 }
		}
		else_if = {
			limit = { num_pops &lt; 690 }
			add_modifier = { modifier = "buy_influence_drain_0200" days = -1 }
		}
		else_if = {
			limit = { num_pops &lt; 810 }
			add_modifier = { modifier = "buy_influence_drain_0240" days = -1 }
		}
		else_if = {
			limit = { num_pops &lt; 930 }
			add_modifier = { modifier = "buy_influence_drain_0280" days = -1 }
		}
		else_if = {
			limit = { num_pops &lt; 1050 }
			add_modifier = { modifier = "buy_influence_drain_0320" days = -1 }
		}
		else_if = {
			limit = { num_pops &lt; 1170 }
			add_modifier = { modifier = "buy_influence_drain_0360" days = -1 }
		}
		else_if = {
			limit = { num_pops &lt; 1470 }
			add_modifier = { modifier = "buy_influence_drain_0400" days = -1 }
		}
		else_if = {
			limit = { num_pops &lt; 1770 }
			add_modifier = { modifier = "buy_influence_drain_0500" days = -1 }
		}
		else_if = {
			limit = { num_pops &lt; 2070 }
			add_modifier = { modifier = "buy_influence_drain_0600" days = -1 }
		}
		else_if = {
			limit = { num_pops &lt; 2370 }
			add_modifier = { modifier = "buy_influence_drain_0700" days = -1 }
		}
		else_if = {
			limit = { num_pops &lt; 2670 }
			add_modifier = { modifier = "buy_influence_drain_0800" days = -1 }
		}
		else_if = {
			limit = { num_pops &lt; 2970 }
			add_modifier = { modifier = "buy_influence_drain_0900" days = -1 }
		}
		else = {
			add_modifier = { modifier = "buy_influence_drain_1000" days = -1 }
		}
	}
	option = {
		name = NODEAL
		default_hide_option = yes
		response_text = buy_influence.210.nodeal.reply
		hidden_effect = {
			country_event = { id = buy_influence.100 }
		}
	}
</v>
      </c>
      <c r="W1" s="11" t="str">
        <f t="shared" si="0"/>
        <v xml:space="preserve">	option = {
		name = buy_influence.215.deal
		response_text = buy_influence.215.deal.reply
		add_modifier = {
			modifier = "buy_influence_1point5"
			days = -1
		}
		if = {
			limit = { num_pops &lt; 42 }
			add_modifier = { modifier = "buy_influence_drain_0030" days = -1 }
		}
		else_if = {
			limit = { num_pops &lt; 54 }
			add_modifier = { modifier = "buy_influence_drain_0036" days = -1 }
		}
		else_if = {
			limit = { num_pops &lt; 66 }
			add_modifier = { modifier = "buy_influence_drain_0042" days = -1 }
		}
		else_if = {
			limit = { num_pops &lt; 78 }
			add_modifier = { modifier = "buy_influence_drain_0048" days = -1 }
		}
		else_if = {
			limit = { num_pops &lt; 90 }
			add_modifier = { modifier = "buy_influence_drain_0054" days = -1 }
		}
		else_if = {
			limit = { num_pops &lt; 120 }
			add_modifier = { modifier = "buy_influence_drain_0060" days = -1 }
		}
		else_if = {
			limit = { num_pops &lt; 150 }
			add_modifier = { modifier = "buy_influence_drain_0075" days = -1 }
		}
		else_if = {
			limit = { num_pops &lt; 180 }
			add_modifier = { modifier = "buy_influence_drain_0090" days = -1 }
		}
		else_if = {
			limit = { num_pops &lt; 210 }
			add_modifier = { modifier = "buy_influence_drain_0105" days = -1 }
		}
		else_if = {
			limit = { num_pops &lt; 240 }
			add_modifier = { modifier = "buy_influence_drain_0120" days = -1 }
		}
		else_if = {
			limit = { num_pops &lt; 270 }
			add_modifier = { modifier = "buy_influence_drain_0135" days = -1 }
		}
		else_if = {
			limit = { num_pops &lt; 330 }
			add_modifier = { modifier = "buy_influence_drain_0150" days = -1 }
		}
		else_if = {
			limit = { num_pops &lt; 390 }
			add_modifier = { modifier = "buy_influence_drain_0180" days = -1 }
		}
		else_if = {
			limit = { num_pops &lt; 450 }
			add_modifier = { modifier = "buy_influence_drain_0210" days = -1 }
		}
		else_if = {
			limit = { num_pops &lt; 510 }
			add_modifier = { modifier = "buy_influence_drain_0240" days = -1 }
		}
		else_if = {
			limit = { num_pops &lt; 570 }
			add_modifier = { modifier = "buy_influence_drain_0270" days = -1 }
		}
		else_if = {
			limit = { num_pops &lt; 690 }
			add_modifier = { modifier = "buy_influence_drain_0300" days = -1 }
		}
		else_if = {
			limit = { num_pops &lt; 810 }
			add_modifier = { modifier = "buy_influence_drain_0360" days = -1 }
		}
		else_if = {
			limit = { num_pops &lt; 930 }
			add_modifier = { modifier = "buy_influence_drain_0420" days = -1 }
		}
		else_if = {
			limit = { num_pops &lt; 1050 }
			add_modifier = { modifier = "buy_influence_drain_0480" days = -1 }
		}
		else_if = {
			limit = { num_pops &lt; 1170 }
			add_modifier = { modifier = "buy_influence_drain_0540" days = -1 }
		}
		else_if = {
			limit = { num_pops &lt; 1470 }
			add_modifier = { modifier = "buy_influence_drain_0600" days = -1 }
		}
		else_if = {
			limit = { num_pops &lt; 1770 }
			add_modifier = { modifier = "buy_influence_drain_0750" days = -1 }
		}
		else_if = {
			limit = { num_pops &lt; 2070 }
			add_modifier = { modifier = "buy_influence_drain_0900" days = -1 }
		}
		else_if = {
			limit = { num_pops &lt; 2370 }
			add_modifier = { modifier = "buy_influence_drain_1050" days = -1 }
		}
		else_if = {
			limit = { num_pops &lt; 2670 }
			add_modifier = { modifier = "buy_influence_drain_1200" days = -1 }
		}
		else_if = {
			limit = { num_pops &lt; 2970 }
			add_modifier = { modifier = "buy_influence_drain_1350" days = -1 }
		}
		else = {
			add_modifier = { modifier = "buy_influence_drain_1500" days = -1 }
		}
	}
	option = {
		name = NODEAL
		default_hide_option = yes
		response_text = buy_influence.215.nodeal.reply
		hidden_effect = {
			country_event = { id = buy_influence.100 }
		}
	}
</v>
      </c>
      <c r="X1" s="11" t="str">
        <f t="shared" si="0"/>
        <v xml:space="preserve">	option = {
		name = buy_influence.220.deal
		response_text = buy_influence.220.deal.reply
		add_modifier = {
			modifier = "buy_influence_2point0"
			days = -1
		}
		if = {
			limit = { num_pops &lt; 42 }
			add_modifier = { modifier = "buy_influence_drain_0040" days = -1 }
		}
		else_if = {
			limit = { num_pops &lt; 54 }
			add_modifier = { modifier = "buy_influence_drain_0048" days = -1 }
		}
		else_if = {
			limit = { num_pops &lt; 66 }
			add_modifier = { modifier = "buy_influence_drain_0056" days = -1 }
		}
		else_if = {
			limit = { num_pops &lt; 78 }
			add_modifier = { modifier = "buy_influence_drain_0064" days = -1 }
		}
		else_if = {
			limit = { num_pops &lt; 90 }
			add_modifier = { modifier = "buy_influence_drain_0072" days = -1 }
		}
		else_if = {
			limit = { num_pops &lt; 120 }
			add_modifier = { modifier = "buy_influence_drain_0080" days = -1 }
		}
		else_if = {
			limit = { num_pops &lt; 150 }
			add_modifier = { modifier = "buy_influence_drain_0100" days = -1 }
		}
		else_if = {
			limit = { num_pops &lt; 180 }
			add_modifier = { modifier = "buy_influence_drain_0120" days = -1 }
		}
		else_if = {
			limit = { num_pops &lt; 210 }
			add_modifier = { modifier = "buy_influence_drain_0140" days = -1 }
		}
		else_if = {
			limit = { num_pops &lt; 240 }
			add_modifier = { modifier = "buy_influence_drain_0160" days = -1 }
		}
		else_if = {
			limit = { num_pops &lt; 270 }
			add_modifier = { modifier = "buy_influence_drain_0180" days = -1 }
		}
		else_if = {
			limit = { num_pops &lt; 330 }
			add_modifier = { modifier = "buy_influence_drain_0200" days = -1 }
		}
		else_if = {
			limit = { num_pops &lt; 390 }
			add_modifier = { modifier = "buy_influence_drain_0240" days = -1 }
		}
		else_if = {
			limit = { num_pops &lt; 450 }
			add_modifier = { modifier = "buy_influence_drain_0280" days = -1 }
		}
		else_if = {
			limit = { num_pops &lt; 510 }
			add_modifier = { modifier = "buy_influence_drain_0320" days = -1 }
		}
		else_if = {
			limit = { num_pops &lt; 570 }
			add_modifier = { modifier = "buy_influence_drain_0360" days = -1 }
		}
		else_if = {
			limit = { num_pops &lt; 690 }
			add_modifier = { modifier = "buy_influence_drain_0400" days = -1 }
		}
		else_if = {
			limit = { num_pops &lt; 810 }
			add_modifier = { modifier = "buy_influence_drain_0480" days = -1 }
		}
		else_if = {
			limit = { num_pops &lt; 930 }
			add_modifier = { modifier = "buy_influence_drain_0560" days = -1 }
		}
		else_if = {
			limit = { num_pops &lt; 1050 }
			add_modifier = { modifier = "buy_influence_drain_0640" days = -1 }
		}
		else_if = {
			limit = { num_pops &lt; 1170 }
			add_modifier = { modifier = "buy_influence_drain_0720" days = -1 }
		}
		else_if = {
			limit = { num_pops &lt; 1470 }
			add_modifier = { modifier = "buy_influence_drain_0800" days = -1 }
		}
		else_if = {
			limit = { num_pops &lt; 1770 }
			add_modifier = { modifier = "buy_influence_drain_1000" days = -1 }
		}
		else_if = {
			limit = { num_pops &lt; 2070 }
			add_modifier = { modifier = "buy_influence_drain_1200" days = -1 }
		}
		else_if = {
			limit = { num_pops &lt; 2370 }
			add_modifier = { modifier = "buy_influence_drain_1400" days = -1 }
		}
		else_if = {
			limit = { num_pops &lt; 2670 }
			add_modifier = { modifier = "buy_influence_drain_1600" days = -1 }
		}
		else_if = {
			limit = { num_pops &lt; 2970 }
			add_modifier = { modifier = "buy_influence_drain_1800" days = -1 }
		}
		else = {
			add_modifier = { modifier = "buy_influence_drain_2000" days = -1 }
		}
	}
	option = {
		name = NODEAL
		default_hide_option = yes
		response_text = buy_influence.220.nodeal.reply
		hidden_effect = {
			country_event = { id = buy_influence.100 }
		}
	}
</v>
      </c>
    </row>
    <row r="2" spans="1:24" x14ac:dyDescent="0.45">
      <c r="A2" s="1" t="s">
        <v>0</v>
      </c>
      <c r="B2" s="1"/>
      <c r="C2" s="1" t="s">
        <v>2</v>
      </c>
      <c r="D2" s="1" t="s">
        <v>5</v>
      </c>
      <c r="E2" s="1"/>
      <c r="F2" s="1"/>
      <c r="G2" s="1"/>
      <c r="I2" t="s">
        <v>0</v>
      </c>
      <c r="J2" t="s">
        <v>1</v>
      </c>
      <c r="L2" t="str">
        <f>CHAR(9)</f>
        <v xml:space="preserve">	</v>
      </c>
      <c r="N2" s="16" t="str">
        <f>CHAR(9) &amp; CHAR(9) &amp; IF(M2="","","else_") &amp; "if = {
" &amp; CHAR(9) &amp; CHAR(9) &amp; CHAR(9) &amp; "limit = { has_modifier = buy_influence_" &amp; U3 &amp; " }
" &amp; Concatenate_Column(N4:N31)
 &amp; CHAR(9) &amp; CHAR(9) &amp; CHAR(9) &amp; "else = {
" &amp; CHAR(9) &amp; CHAR(9) &amp; CHAR(9) &amp; CHAR(9) &amp; "#Do nothing because the empire has the correct drain rate
" &amp; CHAR(9) &amp; CHAR(9) &amp; CHAR(9) &amp; "}
" &amp; CHAR(9) &amp; CHAR(9) &amp; "}
"</f>
        <v xml:space="preserve">		if = {
			limit = { has_modifier = buy_influence_0point5 }
			if = {
				limit = { NOT = { AND = { num_pops &lt; 42 has_modifier = buy_influence_drain_0010 } } }
				country_event = { id = buy_influence.205 }
			}
			else_if = {
				limit = { NOT = { AND = { num_pops &lt; 54 has_modifier = buy_influence_drain_0012 } } }
				country_event = { id = buy_influence.205 }
			}
			else_if = {
				limit = { NOT = { AND = { num_pops &lt; 66 has_modifier = buy_influence_drain_0014 } } }
				country_event = { id = buy_influence.205 }
			}
			else_if = {
				limit = { NOT = { AND = { num_pops &lt; 78 has_modifier = buy_influence_drain_0016 } } }
				country_event = { id = buy_influence.205 }
			}
			else_if = {
				limit = { NOT = { AND = { num_pops &lt; 90 has_modifier = buy_influence_drain_0018 } } }
				country_event = { id = buy_influence.205 }
			}
			else_if = {
				limit = { NOT = { AND = { num_pops &lt; 120 has_modifier = buy_influence_drain_0020 } } }
				country_event = { id = buy_influence.205 }
			}
			else_if = {
				limit = { NOT = { AND = { num_pops &lt; 150 has_modifier = buy_influence_drain_0025 } } }
				country_event = { id = buy_influence.205 }
			}
			else_if = {
				limit = { NOT = { AND = { num_pops &lt; 180 has_modifier = buy_influence_drain_0030 } } }
				country_event = { id = buy_influence.205 }
			}
			else_if = {
				limit = { NOT = { AND = { num_pops &lt; 210 has_modifier = buy_influence_drain_0035 } } }
				country_event = { id = buy_influence.205 }
			}
			else_if = {
				limit = { NOT = { AND = { num_pops &lt; 240 has_modifier = buy_influence_drain_0040 } } }
				country_event = { id = buy_influence.205 }
			}
			else_if = {
				limit = { NOT = { AND = { num_pops &lt; 270 has_modifier = buy_influence_drain_0045 } } }
				country_event = { id = buy_influence.205 }
			}
			else_if = {
				limit = { NOT = { AND = { num_pops &lt; 330 has_modifier = buy_influence_drain_0050 } } }
				country_event = { id = buy_influence.205 }
			}
			else_if = {
				limit = { NOT = { AND = { num_pops &lt; 390 has_modifier = buy_influence_drain_0060 } } }
				country_event = { id = buy_influence.205 }
			}
			else_if = {
				limit = { NOT = { AND = { num_pops &lt; 450 has_modifier = buy_influence_drain_0070 } } }
				country_event = { id = buy_influence.205 }
			}
			else_if = {
				limit = { NOT = { AND = { num_pops &lt; 510 has_modifier = buy_influence_drain_0080 } } }
				country_event = { id = buy_influence.205 }
			}
			else_if = {
				limit = { NOT = { AND = { num_pops &lt; 570 has_modifier = buy_influence_drain_0090 } } }
				country_event = { id = buy_influence.205 }
			}
			else_if = {
				limit = { NOT = { AND = { num_pops &lt; 690 has_modifier = buy_influence_drain_0100 } } }
				country_event = { id = buy_influence.205 }
			}
			else_if = {
				limit = { NOT = { AND = { num_pops &lt; 810 has_modifier = buy_influence_drain_0120 } } }
				country_event = { id = buy_influence.205 }
			}
			else_if = {
				limit = { NOT = { AND = { num_pops &lt; 930 has_modifier = buy_influence_drain_0140 } } }
				country_event = { id = buy_influence.205 }
			}
			else_if = {
				limit = { NOT = { AND = { num_pops &lt; 1050 has_modifier = buy_influence_drain_0160 } } }
				country_event = { id = buy_influence.205 }
			}
			else_if = {
				limit = { NOT = { AND = { num_pops &lt; 1170 has_modifier = buy_influence_drain_0180 } } }
				country_event = { id = buy_influence.205 }
			}
			else_if = {
				limit = { NOT = { AND = { num_pops &lt; 1470 has_modifier = buy_influence_drain_0200 } } }
				country_event = { id = buy_influence.205 }
			}
			else_if = {
				limit = { NOT = { AND = { num_pops &lt; 1770 has_modifier = buy_influence_drain_0250 } } }
				country_event = { id = buy_influence.205 }
			}
			else_if = {
				limit = { NOT = { AND = { num_pops &lt; 2070 has_modifier = buy_influence_drain_0300 } } }
				country_event = { id = buy_influence.205 }
			}
			else_if = {
				limit = { NOT = { AND = { num_pops &lt; 2370 has_modifier = buy_influence_drain_0350 } } }
				country_event = { id = buy_influence.205 }
			}
			else_if = {
				limit = { NOT = { AND = { num_pops &lt; 2670 has_modifier = buy_influence_drain_0400 } } }
				country_event = { id = buy_influence.205 }
			}
			else_if = {
				limit = { NOT = { AND = { num_pops &lt; 2970 has_modifier = buy_influence_drain_0450 } } }
				country_event = { id = buy_influence.205 }
			}
			else_if = {
				limit = { NOT = { has_modifier = buy_influence_drain_0500 } }
				country_event = { id = buy_influence.205 }
			}
			else = {
				#Do nothing because the empire has the correct drain rate
			}
		}
</v>
      </c>
      <c r="O2" s="16" t="str">
        <f t="shared" ref="O2:Q2" si="1">CHAR(9) &amp; CHAR(9) &amp; IF(N2="","","else_") &amp; "if = {
" &amp; CHAR(9) &amp; CHAR(9) &amp; CHAR(9) &amp; "limit = { has_modifier = buy_influence_" &amp; V3 &amp; " }
" &amp; Concatenate_Column(O4:O31)
 &amp; CHAR(9) &amp; CHAR(9) &amp; CHAR(9) &amp; "else = {
" &amp; CHAR(9) &amp; CHAR(9) &amp; CHAR(9) &amp; CHAR(9) &amp; "#Do nothing because the empire has the correct drain rate
" &amp; CHAR(9) &amp; CHAR(9) &amp; CHAR(9) &amp; "}
" &amp; CHAR(9) &amp; CHAR(9) &amp; "}
"</f>
        <v xml:space="preserve">		else_if = {
			limit = { has_modifier = buy_influence_1point0 }
			if = {
				limit = { NOT = { AND = { num_pops &lt; 42 has_modifier = buy_influence_drain_0020 } } }
				country_event = { id = buy_influence.210 }
			}
			else_if = {
				limit = { NOT = { AND = { num_pops &lt; 54 has_modifier = buy_influence_drain_0024 } } }
				country_event = { id = buy_influence.210 }
			}
			else_if = {
				limit = { NOT = { AND = { num_pops &lt; 66 has_modifier = buy_influence_drain_0028 } } }
				country_event = { id = buy_influence.210 }
			}
			else_if = {
				limit = { NOT = { AND = { num_pops &lt; 78 has_modifier = buy_influence_drain_0032 } } }
				country_event = { id = buy_influence.210 }
			}
			else_if = {
				limit = { NOT = { AND = { num_pops &lt; 90 has_modifier = buy_influence_drain_0036 } } }
				country_event = { id = buy_influence.210 }
			}
			else_if = {
				limit = { NOT = { AND = { num_pops &lt; 120 has_modifier = buy_influence_drain_0040 } } }
				country_event = { id = buy_influence.210 }
			}
			else_if = {
				limit = { NOT = { AND = { num_pops &lt; 150 has_modifier = buy_influence_drain_0050 } } }
				country_event = { id = buy_influence.210 }
			}
			else_if = {
				limit = { NOT = { AND = { num_pops &lt; 180 has_modifier = buy_influence_drain_0060 } } }
				country_event = { id = buy_influence.210 }
			}
			else_if = {
				limit = { NOT = { AND = { num_pops &lt; 210 has_modifier = buy_influence_drain_0070 } } }
				country_event = { id = buy_influence.210 }
			}
			else_if = {
				limit = { NOT = { AND = { num_pops &lt; 240 has_modifier = buy_influence_drain_0080 } } }
				country_event = { id = buy_influence.210 }
			}
			else_if = {
				limit = { NOT = { AND = { num_pops &lt; 270 has_modifier = buy_influence_drain_0090 } } }
				country_event = { id = buy_influence.210 }
			}
			else_if = {
				limit = { NOT = { AND = { num_pops &lt; 330 has_modifier = buy_influence_drain_0100 } } }
				country_event = { id = buy_influence.210 }
			}
			else_if = {
				limit = { NOT = { AND = { num_pops &lt; 390 has_modifier = buy_influence_drain_0120 } } }
				country_event = { id = buy_influence.210 }
			}
			else_if = {
				limit = { NOT = { AND = { num_pops &lt; 450 has_modifier = buy_influence_drain_0140 } } }
				country_event = { id = buy_influence.210 }
			}
			else_if = {
				limit = { NOT = { AND = { num_pops &lt; 510 has_modifier = buy_influence_drain_0160 } } }
				country_event = { id = buy_influence.210 }
			}
			else_if = {
				limit = { NOT = { AND = { num_pops &lt; 570 has_modifier = buy_influence_drain_0180 } } }
				country_event = { id = buy_influence.210 }
			}
			else_if = {
				limit = { NOT = { AND = { num_pops &lt; 690 has_modifier = buy_influence_drain_0200 } } }
				country_event = { id = buy_influence.210 }
			}
			else_if = {
				limit = { NOT = { AND = { num_pops &lt; 810 has_modifier = buy_influence_drain_0240 } } }
				country_event = { id = buy_influence.210 }
			}
			else_if = {
				limit = { NOT = { AND = { num_pops &lt; 930 has_modifier = buy_influence_drain_0280 } } }
				country_event = { id = buy_influence.210 }
			}
			else_if = {
				limit = { NOT = { AND = { num_pops &lt; 1050 has_modifier = buy_influence_drain_0320 } } }
				country_event = { id = buy_influence.210 }
			}
			else_if = {
				limit = { NOT = { AND = { num_pops &lt; 1170 has_modifier = buy_influence_drain_0360 } } }
				country_event = { id = buy_influence.210 }
			}
			else_if = {
				limit = { NOT = { AND = { num_pops &lt; 1470 has_modifier = buy_influence_drain_0400 } } }
				country_event = { id = buy_influence.210 }
			}
			else_if = {
				limit = { NOT = { AND = { num_pops &lt; 1770 has_modifier = buy_influence_drain_0500 } } }
				country_event = { id = buy_influence.210 }
			}
			else_if = {
				limit = { NOT = { AND = { num_pops &lt; 2070 has_modifier = buy_influence_drain_0600 } } }
				country_event = { id = buy_influence.210 }
			}
			else_if = {
				limit = { NOT = { AND = { num_pops &lt; 2370 has_modifier = buy_influence_drain_0700 } } }
				country_event = { id = buy_influence.210 }
			}
			else_if = {
				limit = { NOT = { AND = { num_pops &lt; 2670 has_modifier = buy_influence_drain_0800 } } }
				country_event = { id = buy_influence.210 }
			}
			else_if = {
				limit = { NOT = { AND = { num_pops &lt; 2970 has_modifier = buy_influence_drain_0900 } } }
				country_event = { id = buy_influence.210 }
			}
			else_if = {
				limit = { NOT = { has_modifier = buy_influence_drain_1000 } }
				country_event = { id = buy_influence.210 }
			}
			else = {
				#Do nothing because the empire has the correct drain rate
			}
		}
</v>
      </c>
      <c r="P2" s="16" t="str">
        <f t="shared" si="1"/>
        <v xml:space="preserve">		else_if = {
			limit = { has_modifier = buy_influence_1point5 }
			if = {
				limit = { NOT = { AND = { num_pops &lt; 42 has_modifier = buy_influence_drain_0030 } } }
				country_event = { id = buy_influence.215 }
			}
			else_if = {
				limit = { NOT = { AND = { num_pops &lt; 54 has_modifier = buy_influence_drain_0036 } } }
				country_event = { id = buy_influence.215 }
			}
			else_if = {
				limit = { NOT = { AND = { num_pops &lt; 66 has_modifier = buy_influence_drain_0042 } } }
				country_event = { id = buy_influence.215 }
			}
			else_if = {
				limit = { NOT = { AND = { num_pops &lt; 78 has_modifier = buy_influence_drain_0048 } } }
				country_event = { id = buy_influence.215 }
			}
			else_if = {
				limit = { NOT = { AND = { num_pops &lt; 90 has_modifier = buy_influence_drain_0054 } } }
				country_event = { id = buy_influence.215 }
			}
			else_if = {
				limit = { NOT = { AND = { num_pops &lt; 120 has_modifier = buy_influence_drain_0060 } } }
				country_event = { id = buy_influence.215 }
			}
			else_if = {
				limit = { NOT = { AND = { num_pops &lt; 150 has_modifier = buy_influence_drain_0075 } } }
				country_event = { id = buy_influence.215 }
			}
			else_if = {
				limit = { NOT = { AND = { num_pops &lt; 180 has_modifier = buy_influence_drain_0090 } } }
				country_event = { id = buy_influence.215 }
			}
			else_if = {
				limit = { NOT = { AND = { num_pops &lt; 210 has_modifier = buy_influence_drain_0105 } } }
				country_event = { id = buy_influence.215 }
			}
			else_if = {
				limit = { NOT = { AND = { num_pops &lt; 240 has_modifier = buy_influence_drain_0120 } } }
				country_event = { id = buy_influence.215 }
			}
			else_if = {
				limit = { NOT = { AND = { num_pops &lt; 270 has_modifier = buy_influence_drain_0135 } } }
				country_event = { id = buy_influence.215 }
			}
			else_if = {
				limit = { NOT = { AND = { num_pops &lt; 330 has_modifier = buy_influence_drain_0150 } } }
				country_event = { id = buy_influence.215 }
			}
			else_if = {
				limit = { NOT = { AND = { num_pops &lt; 390 has_modifier = buy_influence_drain_0180 } } }
				country_event = { id = buy_influence.215 }
			}
			else_if = {
				limit = { NOT = { AND = { num_pops &lt; 450 has_modifier = buy_influence_drain_0210 } } }
				country_event = { id = buy_influence.215 }
			}
			else_if = {
				limit = { NOT = { AND = { num_pops &lt; 510 has_modifier = buy_influence_drain_0240 } } }
				country_event = { id = buy_influence.215 }
			}
			else_if = {
				limit = { NOT = { AND = { num_pops &lt; 570 has_modifier = buy_influence_drain_0270 } } }
				country_event = { id = buy_influence.215 }
			}
			else_if = {
				limit = { NOT = { AND = { num_pops &lt; 690 has_modifier = buy_influence_drain_0300 } } }
				country_event = { id = buy_influence.215 }
			}
			else_if = {
				limit = { NOT = { AND = { num_pops &lt; 810 has_modifier = buy_influence_drain_0360 } } }
				country_event = { id = buy_influence.215 }
			}
			else_if = {
				limit = { NOT = { AND = { num_pops &lt; 930 has_modifier = buy_influence_drain_0420 } } }
				country_event = { id = buy_influence.215 }
			}
			else_if = {
				limit = { NOT = { AND = { num_pops &lt; 1050 has_modifier = buy_influence_drain_0480 } } }
				country_event = { id = buy_influence.215 }
			}
			else_if = {
				limit = { NOT = { AND = { num_pops &lt; 1170 has_modifier = buy_influence_drain_0540 } } }
				country_event = { id = buy_influence.215 }
			}
			else_if = {
				limit = { NOT = { AND = { num_pops &lt; 1470 has_modifier = buy_influence_drain_0600 } } }
				country_event = { id = buy_influence.215 }
			}
			else_if = {
				limit = { NOT = { AND = { num_pops &lt; 1770 has_modifier = buy_influence_drain_0750 } } }
				country_event = { id = buy_influence.215 }
			}
			else_if = {
				limit = { NOT = { AND = { num_pops &lt; 2070 has_modifier = buy_influence_drain_0900 } } }
				country_event = { id = buy_influence.215 }
			}
			else_if = {
				limit = { NOT = { AND = { num_pops &lt; 2370 has_modifier = buy_influence_drain_1050 } } }
				country_event = { id = buy_influence.215 }
			}
			else_if = {
				limit = { NOT = { AND = { num_pops &lt; 2670 has_modifier = buy_influence_drain_1200 } } }
				country_event = { id = buy_influence.215 }
			}
			else_if = {
				limit = { NOT = { AND = { num_pops &lt; 2970 has_modifier = buy_influence_drain_1350 } } }
				country_event = { id = buy_influence.215 }
			}
			else_if = {
				limit = { NOT = { has_modifier = buy_influence_drain_1500 } }
				country_event = { id = buy_influence.215 }
			}
			else = {
				#Do nothing because the empire has the correct drain rate
			}
		}
</v>
      </c>
      <c r="Q2" s="16" t="str">
        <f t="shared" si="1"/>
        <v xml:space="preserve">		else_if = {
			limit = { has_modifier = buy_influence_2point0 }
			if = {
				limit = { NOT = { AND = { num_pops &lt; 42 has_modifier = buy_influence_drain_0040 } } }
				country_event = { id = buy_influence.220 }
			}
			else_if = {
				limit = { NOT = { AND = { num_pops &lt; 54 has_modifier = buy_influence_drain_0048 } } }
				country_event = { id = buy_influence.220 }
			}
			else_if = {
				limit = { NOT = { AND = { num_pops &lt; 66 has_modifier = buy_influence_drain_0056 } } }
				country_event = { id = buy_influence.220 }
			}
			else_if = {
				limit = { NOT = { AND = { num_pops &lt; 78 has_modifier = buy_influence_drain_0064 } } }
				country_event = { id = buy_influence.220 }
			}
			else_if = {
				limit = { NOT = { AND = { num_pops &lt; 90 has_modifier = buy_influence_drain_0072 } } }
				country_event = { id = buy_influence.220 }
			}
			else_if = {
				limit = { NOT = { AND = { num_pops &lt; 120 has_modifier = buy_influence_drain_0080 } } }
				country_event = { id = buy_influence.220 }
			}
			else_if = {
				limit = { NOT = { AND = { num_pops &lt; 150 has_modifier = buy_influence_drain_0100 } } }
				country_event = { id = buy_influence.220 }
			}
			else_if = {
				limit = { NOT = { AND = { num_pops &lt; 180 has_modifier = buy_influence_drain_0120 } } }
				country_event = { id = buy_influence.220 }
			}
			else_if = {
				limit = { NOT = { AND = { num_pops &lt; 210 has_modifier = buy_influence_drain_0140 } } }
				country_event = { id = buy_influence.220 }
			}
			else_if = {
				limit = { NOT = { AND = { num_pops &lt; 240 has_modifier = buy_influence_drain_0160 } } }
				country_event = { id = buy_influence.220 }
			}
			else_if = {
				limit = { NOT = { AND = { num_pops &lt; 270 has_modifier = buy_influence_drain_0180 } } }
				country_event = { id = buy_influence.220 }
			}
			else_if = {
				limit = { NOT = { AND = { num_pops &lt; 330 has_modifier = buy_influence_drain_0200 } } }
				country_event = { id = buy_influence.220 }
			}
			else_if = {
				limit = { NOT = { AND = { num_pops &lt; 390 has_modifier = buy_influence_drain_0240 } } }
				country_event = { id = buy_influence.220 }
			}
			else_if = {
				limit = { NOT = { AND = { num_pops &lt; 450 has_modifier = buy_influence_drain_0280 } } }
				country_event = { id = buy_influence.220 }
			}
			else_if = {
				limit = { NOT = { AND = { num_pops &lt; 510 has_modifier = buy_influence_drain_0320 } } }
				country_event = { id = buy_influence.220 }
			}
			else_if = {
				limit = { NOT = { AND = { num_pops &lt; 570 has_modifier = buy_influence_drain_0360 } } }
				country_event = { id = buy_influence.220 }
			}
			else_if = {
				limit = { NOT = { AND = { num_pops &lt; 690 has_modifier = buy_influence_drain_0400 } } }
				country_event = { id = buy_influence.220 }
			}
			else_if = {
				limit = { NOT = { AND = { num_pops &lt; 810 has_modifier = buy_influence_drain_0480 } } }
				country_event = { id = buy_influence.220 }
			}
			else_if = {
				limit = { NOT = { AND = { num_pops &lt; 930 has_modifier = buy_influence_drain_0560 } } }
				country_event = { id = buy_influence.220 }
			}
			else_if = {
				limit = { NOT = { AND = { num_pops &lt; 1050 has_modifier = buy_influence_drain_0640 } } }
				country_event = { id = buy_influence.220 }
			}
			else_if = {
				limit = { NOT = { AND = { num_pops &lt; 1170 has_modifier = buy_influence_drain_0720 } } }
				country_event = { id = buy_influence.220 }
			}
			else_if = {
				limit = { NOT = { AND = { num_pops &lt; 1470 has_modifier = buy_influence_drain_0800 } } }
				country_event = { id = buy_influence.220 }
			}
			else_if = {
				limit = { NOT = { AND = { num_pops &lt; 1770 has_modifier = buy_influence_drain_1000 } } }
				country_event = { id = buy_influence.220 }
			}
			else_if = {
				limit = { NOT = { AND = { num_pops &lt; 2070 has_modifier = buy_influence_drain_1200 } } }
				country_event = { id = buy_influence.220 }
			}
			else_if = {
				limit = { NOT = { AND = { num_pops &lt; 2370 has_modifier = buy_influence_drain_1400 } } }
				country_event = { id = buy_influence.220 }
			}
			else_if = {
				limit = { NOT = { AND = { num_pops &lt; 2670 has_modifier = buy_influence_drain_1600 } } }
				country_event = { id = buy_influence.220 }
			}
			else_if = {
				limit = { NOT = { AND = { num_pops &lt; 2970 has_modifier = buy_influence_drain_1800 } } }
				country_event = { id = buy_influence.220 }
			}
			else_if = {
				limit = { NOT = { has_modifier = buy_influence_drain_2000 } }
				country_event = { id = buy_influence.220 }
			}
			else = {
				#Do nothing because the empire has the correct drain rate
			}
		}
</v>
      </c>
      <c r="R2" s="11" t="str">
        <f>N2&amp;O2&amp;P2&amp;Q2</f>
        <v xml:space="preserve">		if = {
			limit = { has_modifier = buy_influence_0point5 }
			if = {
				limit = { NOT = { AND = { num_pops &lt; 42 has_modifier = buy_influence_drain_0010 } } }
				country_event = { id = buy_influence.205 }
			}
			else_if = {
				limit = { NOT = { AND = { num_pops &lt; 54 has_modifier = buy_influence_drain_0012 } } }
				country_event = { id = buy_influence.205 }
			}
			else_if = {
				limit = { NOT = { AND = { num_pops &lt; 66 has_modifier = buy_influence_drain_0014 } } }
				country_event = { id = buy_influence.205 }
			}
			else_if = {
				limit = { NOT = { AND = { num_pops &lt; 78 has_modifier = buy_influence_drain_0016 } } }
				country_event = { id = buy_influence.205 }
			}
			else_if = {
				limit = { NOT = { AND = { num_pops &lt; 90 has_modifier = buy_influence_drain_0018 } } }
				country_event = { id = buy_influence.205 }
			}
			else_if = {
				limit = { NOT = { AND = { num_pops &lt; 120 has_modifier = buy_influence_drain_0020 } } }
				country_event = { id = buy_influence.205 }
			}
			else_if = {
				limit = { NOT = { AND = { num_pops &lt; 150 has_modifier = buy_influence_drain_0025 } } }
				country_event = { id = buy_influence.205 }
			}
			else_if = {
				limit = { NOT = { AND = { num_pops &lt; 180 has_modifier = buy_influence_drain_0030 } } }
				country_event = { id = buy_influence.205 }
			}
			else_if = {
				limit = { NOT = { AND = { num_pops &lt; 210 has_modifier = buy_influence_drain_0035 } } }
				country_event = { id = buy_influence.205 }
			}
			else_if = {
				limit = { NOT = { AND = { num_pops &lt; 240 has_modifier = buy_influence_drain_0040 } } }
				country_event = { id = buy_influence.205 }
			}
			else_if = {
				limit = { NOT = { AND = { num_pops &lt; 270 has_modifier = buy_influence_drain_0045 } } }
				country_event = { id = buy_influence.205 }
			}
			else_if = {
				limit = { NOT = { AND = { num_pops &lt; 330 has_modifier = buy_influence_drain_0050 } } }
				country_event = { id = buy_influence.205 }
			}
			else_if = {
				limit = { NOT = { AND = { num_pops &lt; 390 has_modifier = buy_influence_drain_0060 } } }
				country_event = { id = buy_influence.205 }
			}
			else_if = {
				limit = { NOT = { AND = { num_pops &lt; 450 has_modifier = buy_influence_drain_0070 } } }
				country_event = { id = buy_influence.205 }
			}
			else_if = {
				limit = { NOT = { AND = { num_pops &lt; 510 has_modifier = buy_influence_drain_0080 } } }
				country_event = { id = buy_influence.205 }
			}
			else_if = {
				limit = { NOT = { AND = { num_pops &lt; 570 has_modifier = buy_influence_drain_0090 } } }
				country_event = { id = buy_influence.205 }
			}
			else_if = {
				limit = { NOT = { AND = { num_pops &lt; 690 has_modifier = buy_influence_drain_0100 } } }
				country_event = { id = buy_influence.205 }
			}
			else_if = {
				limit = { NOT = { AND = { num_pops &lt; 810 has_modifier = buy_influence_drain_0120 } } }
				country_event = { id = buy_influence.205 }
			}
			else_if = {
				limit = { NOT = { AND = { num_pops &lt; 930 has_modifier = buy_influence_drain_0140 } } }
				country_event = { id = buy_influence.205 }
			}
			else_if = {
				limit = { NOT = { AND = { num_pops &lt; 1050 has_modifier = buy_influence_drain_0160 } } }
				country_event = { id = buy_influence.205 }
			}
			else_if = {
				limit = { NOT = { AND = { num_pops &lt; 1170 has_modifier = buy_influence_drain_0180 } } }
				country_event = { id = buy_influence.205 }
			}
			else_if = {
				limit = { NOT = { AND = { num_pops &lt; 1470 has_modifier = buy_influence_drain_0200 } } }
				country_event = { id = buy_influence.205 }
			}
			else_if = {
				limit = { NOT = { AND = { num_pops &lt; 1770 has_modifier = buy_influence_drain_0250 } } }
				country_event = { id = buy_influence.205 }
			}
			else_if = {
				limit = { NOT = { AND = { num_pops &lt; 2070 has_modifier = buy_influence_drain_0300 } } }
				country_event = { id = buy_influence.205 }
			}
			else_if = {
				limit = { NOT = { AND = { num_pops &lt; 2370 has_modifier = buy_influence_drain_0350 } } }
				country_event = { id = buy_influence.205 }
			}
			else_if = {
				limit = { NOT = { AND = { num_pops &lt; 2670 has_modifier = buy_influence_drain_0400 } } }
				country_event = { id = buy_influence.205 }
			}
			else_if = {
				limit = { NOT = { AND = { num_pops &lt; 2970 has_modifier = buy_influence_drain_0450 } } }
				country_event = { id = buy_influence.205 }
			}
			else_if = {
				limit = { NOT = { has_modifier = buy_influence_drain_0500 } }
				country_event = { id = buy_influence.205 }
			}
			else = {
				#Do nothing because the empire has the correct drain rate
			}
		}
		else_if = {
			limit = { has_modifier = buy_influence_1point0 }
			if = {
				limit = { NOT = { AND = { num_pops &lt; 42 has_modifier = buy_influence_drain_0020 } } }
				country_event = { id = buy_influence.210 }
			}
			else_if = {
				limit = { NOT = { AND = { num_pops &lt; 54 has_modifier = buy_influence_drain_0024 } } }
				country_event = { id = buy_influence.210 }
			}
			else_if = {
				limit = { NOT = { AND = { num_pops &lt; 66 has_modifier = buy_influence_drain_0028 } } }
				country_event = { id = buy_influence.210 }
			}
			else_if = {
				limit = { NOT = { AND = { num_pops &lt; 78 has_modifier = buy_influence_drain_0032 } } }
				country_event = { id = buy_influence.210 }
			}
			else_if = {
				limit = { NOT = { AND = { num_pops &lt; 90 has_modifier = buy_influence_drain_0036 } } }
				country_event = { id = buy_influence.210 }
			}
			else_if = {
				limit = { NOT = { AND = { num_pops &lt; 120 has_modifier = buy_influence_drain_0040 } } }
				country_event = { id = buy_influence.210 }
			}
			else_if = {
				limit = { NOT = { AND = { num_pops &lt; 150 has_modifier = buy_influence_drain_0050 } } }
				country_event = { id = buy_influence.210 }
			}
			else_if = {
				limit = { NOT = { AND = { num_pops &lt; 180 has_modifier = buy_influence_drain_0060 } } }
				country_event = { id = buy_influence.210 }
			}
			else_if = {
				limit = { NOT = { AND = { num_pops &lt; 210 has_modifier = buy_influence_drain_0070 } } }
				country_event = { id = buy_influence.210 }
			}
			else_if = {
				limit = { NOT = { AND = { num_pops &lt; 240 has_modifier = buy_influence_drain_0080 } } }
				country_event = { id = buy_influence.210 }
			}
			else_if = {
				limit = { NOT = { AND = { num_pops &lt; 270 has_modifier = buy_influence_drain_0090 } } }
				country_event = { id = buy_influence.210 }
			}
			else_if = {
				limit = { NOT = { AND = { num_pops &lt; 330 has_modifier = buy_influence_drain_0100 } } }
				country_event = { id = buy_influence.210 }
			}
			else_if = {
				limit = { NOT = { AND = { num_pops &lt; 390 has_modifier = buy_influence_drain_0120 } } }
				country_event = { id = buy_influence.210 }
			}
			else_if = {
				limit = { NOT = { AND = { num_pops &lt; 450 has_modifier = buy_influence_drain_0140 } } }
				country_event = { id = buy_influence.210 }
			}
			else_if = {
				limit = { NOT = { AND = { num_pops &lt; 510 has_modifier = buy_influence_drain_0160 } } }
				country_event = { id = buy_influence.210 }
			}
			else_if = {
				limit = { NOT = { AND = { num_pops &lt; 570 has_modifier = buy_influence_drain_0180 } } }
				country_event = { id = buy_influence.210 }
			}
			else_if = {
				limit = { NOT = { AND = { num_pops &lt; 690 has_modifier = buy_influence_drain_0200 } } }
				country_event = { id = buy_influence.210 }
			}
			else_if = {
				limit = { NOT = { AND = { num_pops &lt; 810 has_modifier = buy_influence_drain_0240 } } }
				country_event = { id = buy_influence.210 }
			}
			else_if = {
				limit = { NOT = { AND = { num_pops &lt; 930 has_modifier = buy_influence_drain_0280 } } }
				country_event = { id = buy_influence.210 }
			}
			else_if = {
				limit = { NOT = { AND = { num_pops &lt; 1050 has_modifier = buy_influence_drain_0320 } } }
				country_event = { id = buy_influence.210 }
			}
			else_if = {
				limit = { NOT = { AND = { num_pops &lt; 1170 has_modifier = buy_influence_drain_0360 } } }
				country_event = { id = buy_influence.210 }
			}
			else_if = {
				limit = { NOT = { AND = { num_pops &lt; 1470 has_modifier = buy_influence_drain_0400 } } }
				country_event = { id = buy_influence.210 }
			}
			else_if = {
				limit = { NOT = { AND = { num_pops &lt; 1770 has_modifier = buy_influence_drain_0500 } } }
				country_event = { id = buy_influence.210 }
			}
			else_if = {
				limit = { NOT = { AND = { num_pops &lt; 2070 has_modifier = buy_influence_drain_0600 } } }
				country_event = { id = buy_influence.210 }
			}
			else_if = {
				limit = { NOT = { AND = { num_pops &lt; 2370 has_modifier = buy_influence_drain_0700 } } }
				country_event = { id = buy_influence.210 }
			}
			else_if = {
				limit = { NOT = { AND = { num_pops &lt; 2670 has_modifier = buy_influence_drain_0800 } } }
				country_event = { id = buy_influence.210 }
			}
			else_if = {
				limit = { NOT = { AND = { num_pops &lt; 2970 has_modifier = buy_influence_drain_0900 } } }
				country_event = { id = buy_influence.210 }
			}
			else_if = {
				limit = { NOT = { has_modifier = buy_influence_drain_1000 } }
				country_event = { id = buy_influence.210 }
			}
			else = {
				#Do nothing because the empire has the correct drain rate
			}
		}
		else_if = {
			limit = { has_modifier = buy_influence_1point5 }
			if = {
				limit = { NOT = { AND = { num_pops &lt; 42 has_modifier = buy_influence_drain_0030 } } }
				country_event = { id = buy_influence.215 }
			}
			else_if = {
				limit = { NOT = { AND = { num_pops &lt; 54 has_modifier = buy_influence_drain_0036 } } }
				country_event = { id = buy_influence.215 }
			}
			else_if = {
				limit = { NOT = { AND = { num_pops &lt; 66 has_modifier = buy_influence_drain_0042 } } }
				country_event = { id = buy_influence.215 }
			}
			else_if = {
				limit = { NOT = { AND = { num_pops &lt; 78 has_modifier = buy_influence_drain_0048 } } }
				country_event = { id = buy_influence.215 }
			}
			else_if = {
				limit = { NOT = { AND = { num_pops &lt; 90 has_modifier = buy_influence_drain_0054 } } }
				country_event = { id = buy_influence.215 }
			}
			else_if = {
				limit = { NOT = { AND = { num_pops &lt; 120 has_modifier = buy_influence_drain_0060 } } }
				country_event = { id = buy_influence.215 }
			}
			else_if = {
				limit = { NOT = { AND = { num_pops &lt; 150 has_modifier = buy_influence_drain_0075 } } }
				country_event = { id = buy_influence.215 }
			}
			else_if = {
				limit = { NOT = { AND = { num_pops &lt; 180 has_modifier = buy_influence_drain_0090 } } }
				country_event = { id = buy_influence.215 }
			}
			else_if = {
				limit = { NOT = { AND = { num_pops &lt; 210 has_modifier = buy_influence_drain_0105 } } }
				country_event = { id = buy_influence.215 }
			}
			else_if = {
				limit = { NOT = { AND = { num_pops &lt; 240 has_modifier = buy_influence_drain_0120 } } }
				country_event = { id = buy_influence.215 }
			}
			else_if = {
				limit = { NOT = { AND = { num_pops &lt; 270 has_modifier = buy_influence_drain_0135 } } }
				country_event = { id = buy_influence.215 }
			}
			else_if = {
				limit = { NOT = { AND = { num_pops &lt; 330 has_modifier = buy_influence_drain_0150 } } }
				country_event = { id = buy_influence.215 }
			}
			else_if = {
				limit = { NOT = { AND = { num_pops &lt; 390 has_modifier = buy_influence_drain_0180 } } }
				country_event = { id = buy_influence.215 }
			}
			else_if = {
				limit = { NOT = { AND = { num_pops &lt; 450 has_modifier = buy_influence_drain_0210 } } }
				country_event = { id = buy_influence.215 }
			}
			else_if = {
				limit = { NOT = { AND = { num_pops &lt; 510 has_modifier = buy_influence_drain_0240 } } }
				country_event = { id = buy_influence.215 }
			}
			else_if = {
				limit = { NOT = { AND = { num_pops &lt; 570 has_modifier = buy_influence_drain_0270 } } }
				country_event = { id = buy_influence.215 }
			}
			else_if = {
				limit = { NOT = { AND = { num_pops &lt; 690 has_modifier = buy_influence_drain_0300 } } }
				country_event = { id = buy_influence.215 }
			}
			else_if = {
				limit = { NOT = { AND = { num_pops &lt; 810 has_modifier = buy_influence_drain_0360 } } }
				country_event = { id = buy_influence.215 }
			}
			else_if = {
				limit = { NOT = { AND = { num_pops &lt; 930 has_modifier = buy_influence_drain_0420 } } }
				country_event = { id = buy_influence.215 }
			}
			else_if = {
				limit = { NOT = { AND = { num_pops &lt; 1050 has_modifier = buy_influence_drain_0480 } } }
				country_event = { id = buy_influence.215 }
			}
			else_if = {
				limit = { NOT = { AND = { num_pops &lt; 1170 has_modifier = buy_influence_drain_0540 } } }
				country_event = { id = buy_influence.215 }
			}
			else_if = {
				limit = { NOT = { AND = { num_pops &lt; 1470 has_modifier = buy_influence_drain_0600 } } }
				country_event = { id = buy_influence.215 }
			}
			else_if = {
				limit = { NOT = { AND = { num_pops &lt; 1770 has_modifier = buy_influence_drain_0750 } } }
				country_event = { id = buy_influence.215 }
			}
			else_if = {
				limit = { NOT = { AND = { num_pops &lt; 2070 has_modifier = buy_influence_drain_0900 } } }
				country_event = { id = buy_influence.215 }
			}
			else_if = {
				limit = { NOT = { AND = { num_pops &lt; 2370 has_modifier = buy_influence_drain_1050 } } }
				country_event = { id = buy_influence.215 }
			}
			else_if = {
				limit = { NOT = { AND = { num_pops &lt; 2670 has_modifier = buy_influence_drain_1200 } } }
				country_event = { id = buy_influence.215 }
			}
			else_if = {
				limit = { NOT = { AND = { num_pops &lt; 2970 has_modifier = buy_influence_drain_1350 } } }
				country_event = { id = buy_influence.215 }
			}
			else_if = {
				limit = { NOT = { has_modifier = buy_influence_drain_1500 } }
				country_event = { id = buy_influence.215 }
			}
			else = {
				#Do nothing because the empire has the correct drain rate
			}
		}
		else_if = {
			limit = { has_modifier = buy_influence_2point0 }
			if = {
				limit = { NOT = { AND = { num_pops &lt; 42 has_modifier = buy_influence_drain_0040 } } }
				country_event = { id = buy_influence.220 }
			}
			else_if = {
				limit = { NOT = { AND = { num_pops &lt; 54 has_modifier = buy_influence_drain_0048 } } }
				country_event = { id = buy_influence.220 }
			}
			else_if = {
				limit = { NOT = { AND = { num_pops &lt; 66 has_modifier = buy_influence_drain_0056 } } }
				country_event = { id = buy_influence.220 }
			}
			else_if = {
				limit = { NOT = { AND = { num_pops &lt; 78 has_modifier = buy_influence_drain_0064 } } }
				country_event = { id = buy_influence.220 }
			}
			else_if = {
				limit = { NOT = { AND = { num_pops &lt; 90 has_modifier = buy_influence_drain_0072 } } }
				country_event = { id = buy_influence.220 }
			}
			else_if = {
				limit = { NOT = { AND = { num_pops &lt; 120 has_modifier = buy_influence_drain_0080 } } }
				country_event = { id = buy_influence.220 }
			}
			else_if = {
				limit = { NOT = { AND = { num_pops &lt; 150 has_modifier = buy_influence_drain_0100 } } }
				country_event = { id = buy_influence.220 }
			}
			else_if = {
				limit = { NOT = { AND = { num_pops &lt; 180 has_modifier = buy_influence_drain_0120 } } }
				country_event = { id = buy_influence.220 }
			}
			else_if = {
				limit = { NOT = { AND = { num_pops &lt; 210 has_modifier = buy_influence_drain_0140 } } }
				country_event = { id = buy_influence.220 }
			}
			else_if = {
				limit = { NOT = { AND = { num_pops &lt; 240 has_modifier = buy_influence_drain_0160 } } }
				country_event = { id = buy_influence.220 }
			}
			else_if = {
				limit = { NOT = { AND = { num_pops &lt; 270 has_modifier = buy_influence_drain_0180 } } }
				country_event = { id = buy_influence.220 }
			}
			else_if = {
				limit = { NOT = { AND = { num_pops &lt; 330 has_modifier = buy_influence_drain_0200 } } }
				country_event = { id = buy_influence.220 }
			}
			else_if = {
				limit = { NOT = { AND = { num_pops &lt; 390 has_modifier = buy_influence_drain_0240 } } }
				country_event = { id = buy_influence.220 }
			}
			else_if = {
				limit = { NOT = { AND = { num_pops &lt; 450 has_modifier = buy_influence_drain_0280 } } }
				country_event = { id = buy_influence.220 }
			}
			else_if = {
				limit = { NOT = { AND = { num_pops &lt; 510 has_modifier = buy_influence_drain_0320 } } }
				country_event = { id = buy_influence.220 }
			}
			else_if = {
				limit = { NOT = { AND = { num_pops &lt; 570 has_modifier = buy_influence_drain_0360 } } }
				country_event = { id = buy_influence.220 }
			}
			else_if = {
				limit = { NOT = { AND = { num_pops &lt; 690 has_modifier = buy_influence_drain_0400 } } }
				country_event = { id = buy_influence.220 }
			}
			else_if = {
				limit = { NOT = { AND = { num_pops &lt; 810 has_modifier = buy_influence_drain_0480 } } }
				country_event = { id = buy_influence.220 }
			}
			else_if = {
				limit = { NOT = { AND = { num_pops &lt; 930 has_modifier = buy_influence_drain_0560 } } }
				country_event = { id = buy_influence.220 }
			}
			else_if = {
				limit = { NOT = { AND = { num_pops &lt; 1050 has_modifier = buy_influence_drain_0640 } } }
				country_event = { id = buy_influence.220 }
			}
			else_if = {
				limit = { NOT = { AND = { num_pops &lt; 1170 has_modifier = buy_influence_drain_0720 } } }
				country_event = { id = buy_influence.220 }
			}
			else_if = {
				limit = { NOT = { AND = { num_pops &lt; 1470 has_modifier = buy_influence_drain_0800 } } }
				country_event = { id = buy_influence.220 }
			}
			else_if = {
				limit = { NOT = { AND = { num_pops &lt; 1770 has_modifier = buy_influence_drain_1000 } } }
				country_event = { id = buy_influence.220 }
			}
			else_if = {
				limit = { NOT = { AND = { num_pops &lt; 2070 has_modifier = buy_influence_drain_1200 } } }
				country_event = { id = buy_influence.220 }
			}
			else_if = {
				limit = { NOT = { AND = { num_pops &lt; 2370 has_modifier = buy_influence_drain_1400 } } }
				country_event = { id = buy_influence.220 }
			}
			else_if = {
				limit = { NOT = { AND = { num_pops &lt; 2670 has_modifier = buy_influence_drain_1600 } } }
				country_event = { id = buy_influence.220 }
			}
			else_if = {
				limit = { NOT = { AND = { num_pops &lt; 2970 has_modifier = buy_influence_drain_1800 } } }
				country_event = { id = buy_influence.220 }
			}
			else_if = {
				limit = { NOT = { has_modifier = buy_influence_drain_2000 } }
				country_event = { id = buy_influence.220 }
			}
			else = {
				#Do nothing because the empire has the correct drain rate
			}
		}
</v>
      </c>
      <c r="U2">
        <v>205</v>
      </c>
      <c r="V2">
        <v>210</v>
      </c>
      <c r="W2">
        <v>215</v>
      </c>
      <c r="X2">
        <v>220</v>
      </c>
    </row>
    <row r="3" spans="1:24" x14ac:dyDescent="0.45">
      <c r="A3" t="s">
        <v>3</v>
      </c>
      <c r="B3" t="s">
        <v>4</v>
      </c>
      <c r="C3" s="1"/>
      <c r="D3">
        <v>10</v>
      </c>
      <c r="E3">
        <v>20</v>
      </c>
      <c r="F3">
        <v>30</v>
      </c>
      <c r="G3">
        <v>40</v>
      </c>
      <c r="I3">
        <v>5</v>
      </c>
      <c r="J3">
        <f>INDEX(C:C,MATCH(I3,A:A,1))</f>
        <v>1</v>
      </c>
      <c r="N3">
        <v>205</v>
      </c>
      <c r="O3">
        <v>210</v>
      </c>
      <c r="P3">
        <v>215</v>
      </c>
      <c r="Q3">
        <v>220</v>
      </c>
      <c r="U3" t="s">
        <v>12</v>
      </c>
      <c r="V3" t="s">
        <v>13</v>
      </c>
      <c r="W3" t="s">
        <v>14</v>
      </c>
      <c r="X3" t="s">
        <v>15</v>
      </c>
    </row>
    <row r="4" spans="1:24" x14ac:dyDescent="0.45">
      <c r="A4">
        <v>0</v>
      </c>
      <c r="B4">
        <f>A5-1</f>
        <v>41</v>
      </c>
      <c r="C4">
        <v>1</v>
      </c>
      <c r="D4">
        <f t="array" ref="D4:G31">C4:C31*D3:G3</f>
        <v>10</v>
      </c>
      <c r="E4">
        <v>20</v>
      </c>
      <c r="F4">
        <v>30</v>
      </c>
      <c r="G4">
        <v>40</v>
      </c>
      <c r="I4">
        <v>10</v>
      </c>
      <c r="J4">
        <f>INDEX(C:C,MATCH(I4,A:A,1))</f>
        <v>1</v>
      </c>
      <c r="N4" t="str">
        <f>CHAR(9) &amp; CHAR(9) &amp; CHAR(9) &amp; IF(ROW(N3)=ROW(N$3),"","else_") &amp; "if = {
" &amp; CHAR(9) &amp; CHAR(9) &amp; CHAR(9) &amp; CHAR(9) &amp; "limit = { NOT = { " &amp; IF($A5&lt;&gt;"", "AND = { num_pops &lt; " &amp; $A5 &amp; " ", "") &amp; "has_modifier = buy_influence_drain_" &amp; IF(D4&lt;100,"00",IF(D4&lt;1000,"0","")) &amp; D4 &amp; " "&amp; IF($A5&lt;&gt;"","} ","") &amp; "} }
" &amp; CHAR(9) &amp; CHAR(9) &amp; CHAR(9) &amp; CHAR(9) &amp; "country_event = { id = buy_influence." &amp; N$3 &amp; " }
" &amp; CHAR(9) &amp; CHAR(9) &amp; CHAR(9) &amp; "}
"</f>
        <v xml:space="preserve">			if = {
				limit = { NOT = { AND = { num_pops &lt; 42 has_modifier = buy_influence_drain_0010 } } }
				country_event = { id = buy_influence.205 }
			}
</v>
      </c>
      <c r="O4" t="str">
        <f t="shared" ref="O4:O31" si="2">CHAR(9) &amp; CHAR(9) &amp; CHAR(9) &amp; IF(ROW(O3)=ROW(O$3),"","else_") &amp; "if = {
" &amp; CHAR(9) &amp; CHAR(9) &amp; CHAR(9) &amp; CHAR(9) &amp; "limit = { NOT = { " &amp; IF($A5&lt;&gt;"", "AND = { num_pops &lt; " &amp; $A5 &amp; " ", "") &amp; "has_modifier = buy_influence_drain_" &amp; IF(E4&lt;100,"00",IF(E4&lt;1000,"0","")) &amp; E4 &amp; " "&amp; IF($A5&lt;&gt;"","} ","") &amp; "} }
" &amp; CHAR(9) &amp; CHAR(9) &amp; CHAR(9) &amp; CHAR(9) &amp; "country_event = { id = buy_influence." &amp; O$3 &amp; " }
" &amp; CHAR(9) &amp; CHAR(9) &amp; CHAR(9) &amp; "}
"</f>
        <v xml:space="preserve">			if = {
				limit = { NOT = { AND = { num_pops &lt; 42 has_modifier = buy_influence_drain_0020 } } }
				country_event = { id = buy_influence.210 }
			}
</v>
      </c>
      <c r="P4" t="str">
        <f t="shared" ref="P4:P31" si="3">CHAR(9) &amp; CHAR(9) &amp; CHAR(9) &amp; IF(ROW(P3)=ROW(P$3),"","else_") &amp; "if = {
" &amp; CHAR(9) &amp; CHAR(9) &amp; CHAR(9) &amp; CHAR(9) &amp; "limit = { NOT = { " &amp; IF($A5&lt;&gt;"", "AND = { num_pops &lt; " &amp; $A5 &amp; " ", "") &amp; "has_modifier = buy_influence_drain_" &amp; IF(F4&lt;100,"00",IF(F4&lt;1000,"0","")) &amp; F4 &amp; " "&amp; IF($A5&lt;&gt;"","} ","") &amp; "} }
" &amp; CHAR(9) &amp; CHAR(9) &amp; CHAR(9) &amp; CHAR(9) &amp; "country_event = { id = buy_influence." &amp; P$3 &amp; " }
" &amp; CHAR(9) &amp; CHAR(9) &amp; CHAR(9) &amp; "}
"</f>
        <v xml:space="preserve">			if = {
				limit = { NOT = { AND = { num_pops &lt; 42 has_modifier = buy_influence_drain_0030 } } }
				country_event = { id = buy_influence.215 }
			}
</v>
      </c>
      <c r="Q4" t="str">
        <f t="shared" ref="Q4:Q31" si="4">CHAR(9) &amp; CHAR(9) &amp; CHAR(9) &amp; IF(ROW(Q3)=ROW(Q$3),"","else_") &amp; "if = {
" &amp; CHAR(9) &amp; CHAR(9) &amp; CHAR(9) &amp; CHAR(9) &amp; "limit = { NOT = { " &amp; IF($A5&lt;&gt;"", "AND = { num_pops &lt; " &amp; $A5 &amp; " ", "") &amp; "has_modifier = buy_influence_drain_" &amp; IF(G4&lt;100,"00",IF(G4&lt;1000,"0","")) &amp; G4 &amp; " "&amp; IF($A5&lt;&gt;"","} ","") &amp; "} }
" &amp; CHAR(9) &amp; CHAR(9) &amp; CHAR(9) &amp; CHAR(9) &amp; "country_event = { id = buy_influence." &amp; Q$3 &amp; " }
" &amp; CHAR(9) &amp; CHAR(9) &amp; CHAR(9) &amp; "}
"</f>
        <v xml:space="preserve">			if = {
				limit = { NOT = { AND = { num_pops &lt; 42 has_modifier = buy_influence_drain_0040 } } }
				country_event = { id = buy_influence.220 }
			}
</v>
      </c>
      <c r="U4" t="str">
        <f>CHAR(9) &amp; CHAR(9) &amp; IF($A5="","else",IF(ROW(U3)=ROW(U$3),"if","else_if")) &amp; " = {
" &amp; IF($A5="","",CHAR(9) &amp; CHAR(9) &amp; CHAR(9) &amp; "limit = { num_pops &lt; " &amp; $A5 &amp; " }
") &amp; CHAR(9) &amp; CHAR(9) &amp; CHAR(9) &amp; "add_modifier = { modifier = ""buy_influence_drain_" &amp; IF(D4&lt;100,"00",IF(D4&lt;1000,"0","")) &amp; D4 &amp; """ days = -1 }
" &amp; CHAR(9) &amp; CHAR(9) &amp; "}
"</f>
        <v xml:space="preserve">		if = {
			limit = { num_pops &lt; 42 }
			add_modifier = { modifier = "buy_influence_drain_0010" days = -1 }
		}
</v>
      </c>
      <c r="V4" t="str">
        <f t="shared" ref="V4:V31" si="5">CHAR(9) &amp; CHAR(9) &amp; IF($A5="","else",IF(ROW(V3)=ROW(V$3),"if","else_if")) &amp; " = {
" &amp; IF($A5="","",CHAR(9) &amp; CHAR(9) &amp; CHAR(9) &amp; "limit = { num_pops &lt; " &amp; $A5 &amp; " }
") &amp; CHAR(9) &amp; CHAR(9) &amp; CHAR(9) &amp; "add_modifier = { modifier = ""buy_influence_drain_" &amp; IF(E4&lt;100,"00",IF(E4&lt;1000,"0","")) &amp; E4 &amp; """ days = -1 }
" &amp; CHAR(9) &amp; CHAR(9) &amp; "}
"</f>
        <v xml:space="preserve">		if = {
			limit = { num_pops &lt; 42 }
			add_modifier = { modifier = "buy_influence_drain_0020" days = -1 }
		}
</v>
      </c>
      <c r="W4" t="str">
        <f t="shared" ref="W4:W31" si="6">CHAR(9) &amp; CHAR(9) &amp; IF($A5="","else",IF(ROW(W3)=ROW(W$3),"if","else_if")) &amp; " = {
" &amp; IF($A5="","",CHAR(9) &amp; CHAR(9) &amp; CHAR(9) &amp; "limit = { num_pops &lt; " &amp; $A5 &amp; " }
") &amp; CHAR(9) &amp; CHAR(9) &amp; CHAR(9) &amp; "add_modifier = { modifier = ""buy_influence_drain_" &amp; IF(F4&lt;100,"00",IF(F4&lt;1000,"0","")) &amp; F4 &amp; """ days = -1 }
" &amp; CHAR(9) &amp; CHAR(9) &amp; "}
"</f>
        <v xml:space="preserve">		if = {
			limit = { num_pops &lt; 42 }
			add_modifier = { modifier = "buy_influence_drain_0030" days = -1 }
		}
</v>
      </c>
      <c r="X4" t="str">
        <f t="shared" ref="X4:X31" si="7">CHAR(9) &amp; CHAR(9) &amp; IF($A5="","else",IF(ROW(X3)=ROW(X$3),"if","else_if")) &amp; " = {
" &amp; IF($A5="","",CHAR(9) &amp; CHAR(9) &amp; CHAR(9) &amp; "limit = { num_pops &lt; " &amp; $A5 &amp; " }
") &amp; CHAR(9) &amp; CHAR(9) &amp; CHAR(9) &amp; "add_modifier = { modifier = ""buy_influence_drain_" &amp; IF(G4&lt;100,"00",IF(G4&lt;1000,"0","")) &amp; G4 &amp; """ days = -1 }
" &amp; CHAR(9) &amp; CHAR(9) &amp; "}
"</f>
        <v xml:space="preserve">		if = {
			limit = { num_pops &lt; 42 }
			add_modifier = { modifier = "buy_influence_drain_0040" days = -1 }
		}
</v>
      </c>
    </row>
    <row r="5" spans="1:24" x14ac:dyDescent="0.45">
      <c r="A5">
        <v>42</v>
      </c>
      <c r="B5">
        <f>A6-1</f>
        <v>53</v>
      </c>
      <c r="C5" s="6">
        <f>C4+0.2</f>
        <v>1.2</v>
      </c>
      <c r="D5">
        <v>12</v>
      </c>
      <c r="E5">
        <v>24</v>
      </c>
      <c r="F5">
        <v>36</v>
      </c>
      <c r="G5">
        <v>48</v>
      </c>
      <c r="I5">
        <v>15</v>
      </c>
      <c r="J5">
        <f>INDEX(C:C,MATCH(I5,A:A,1))</f>
        <v>1</v>
      </c>
      <c r="N5" t="str">
        <f t="shared" ref="N5:N31" si="8">CHAR(9) &amp; CHAR(9) &amp; CHAR(9) &amp; IF(ROW(N4)=ROW(N$3),"","else_") &amp; "if = {
" &amp; CHAR(9) &amp; CHAR(9) &amp; CHAR(9) &amp; CHAR(9) &amp; "limit = { NOT = { " &amp; IF($A6&lt;&gt;"", "AND = { num_pops &lt; " &amp; $A6 &amp; " ", "") &amp; "has_modifier = buy_influence_drain_" &amp; IF(D5&lt;100,"00",IF(D5&lt;1000,"0","")) &amp; D5 &amp; " "&amp; IF($A6&lt;&gt;"","} ","") &amp; "} }
" &amp; CHAR(9) &amp; CHAR(9) &amp; CHAR(9) &amp; CHAR(9) &amp; "country_event = { id = buy_influence." &amp; N$3 &amp; " }
" &amp; CHAR(9) &amp; CHAR(9) &amp; CHAR(9) &amp; "}
"</f>
        <v xml:space="preserve">			else_if = {
				limit = { NOT = { AND = { num_pops &lt; 54 has_modifier = buy_influence_drain_0012 } } }
				country_event = { id = buy_influence.205 }
			}
</v>
      </c>
      <c r="O5" t="str">
        <f t="shared" si="2"/>
        <v xml:space="preserve">			else_if = {
				limit = { NOT = { AND = { num_pops &lt; 54 has_modifier = buy_influence_drain_0024 } } }
				country_event = { id = buy_influence.210 }
			}
</v>
      </c>
      <c r="P5" t="str">
        <f t="shared" si="3"/>
        <v xml:space="preserve">			else_if = {
				limit = { NOT = { AND = { num_pops &lt; 54 has_modifier = buy_influence_drain_0036 } } }
				country_event = { id = buy_influence.215 }
			}
</v>
      </c>
      <c r="Q5" t="str">
        <f t="shared" si="4"/>
        <v xml:space="preserve">			else_if = {
				limit = { NOT = { AND = { num_pops &lt; 54 has_modifier = buy_influence_drain_0048 } } }
				country_event = { id = buy_influence.220 }
			}
</v>
      </c>
      <c r="U5" t="str">
        <f t="shared" ref="U5:U31" si="9">CHAR(9) &amp; CHAR(9) &amp; IF($A6="","else",IF(ROW(U4)=ROW(U$3),"if","else_if")) &amp; " = {
" &amp; IF($A6="","",CHAR(9) &amp; CHAR(9) &amp; CHAR(9) &amp; "limit = { num_pops &lt; " &amp; $A6 &amp; " }
") &amp; CHAR(9) &amp; CHAR(9) &amp; CHAR(9) &amp; "add_modifier = { modifier = ""buy_influence_drain_" &amp; IF(D5&lt;100,"00",IF(D5&lt;1000,"0","")) &amp; D5 &amp; """ days = -1 }
" &amp; CHAR(9) &amp; CHAR(9) &amp; "}
"</f>
        <v xml:space="preserve">		else_if = {
			limit = { num_pops &lt; 54 }
			add_modifier = { modifier = "buy_influence_drain_0012" days = -1 }
		}
</v>
      </c>
      <c r="V5" t="str">
        <f t="shared" si="5"/>
        <v xml:space="preserve">		else_if = {
			limit = { num_pops &lt; 54 }
			add_modifier = { modifier = "buy_influence_drain_0024" days = -1 }
		}
</v>
      </c>
      <c r="W5" t="str">
        <f t="shared" si="6"/>
        <v xml:space="preserve">		else_if = {
			limit = { num_pops &lt; 54 }
			add_modifier = { modifier = "buy_influence_drain_0036" days = -1 }
		}
</v>
      </c>
      <c r="X5" t="str">
        <f t="shared" si="7"/>
        <v xml:space="preserve">		else_if = {
			limit = { num_pops &lt; 54 }
			add_modifier = { modifier = "buy_influence_drain_0048" days = -1 }
		}
</v>
      </c>
    </row>
    <row r="6" spans="1:24" x14ac:dyDescent="0.45">
      <c r="A6" s="2">
        <f>A5+12</f>
        <v>54</v>
      </c>
      <c r="B6">
        <f>A7-1</f>
        <v>65</v>
      </c>
      <c r="C6" s="6">
        <f>C5+0.2</f>
        <v>1.4</v>
      </c>
      <c r="D6">
        <v>14</v>
      </c>
      <c r="E6">
        <v>28</v>
      </c>
      <c r="F6">
        <v>42</v>
      </c>
      <c r="G6">
        <v>56</v>
      </c>
      <c r="I6">
        <v>20</v>
      </c>
      <c r="J6">
        <f>INDEX(C:C,MATCH(I6,A:A,1))</f>
        <v>1</v>
      </c>
      <c r="N6" t="str">
        <f t="shared" si="8"/>
        <v xml:space="preserve">			else_if = {
				limit = { NOT = { AND = { num_pops &lt; 66 has_modifier = buy_influence_drain_0014 } } }
				country_event = { id = buy_influence.205 }
			}
</v>
      </c>
      <c r="O6" t="str">
        <f t="shared" si="2"/>
        <v xml:space="preserve">			else_if = {
				limit = { NOT = { AND = { num_pops &lt; 66 has_modifier = buy_influence_drain_0028 } } }
				country_event = { id = buy_influence.210 }
			}
</v>
      </c>
      <c r="P6" t="str">
        <f t="shared" si="3"/>
        <v xml:space="preserve">			else_if = {
				limit = { NOT = { AND = { num_pops &lt; 66 has_modifier = buy_influence_drain_0042 } } }
				country_event = { id = buy_influence.215 }
			}
</v>
      </c>
      <c r="Q6" t="str">
        <f t="shared" si="4"/>
        <v xml:space="preserve">			else_if = {
				limit = { NOT = { AND = { num_pops &lt; 66 has_modifier = buy_influence_drain_0056 } } }
				country_event = { id = buy_influence.220 }
			}
</v>
      </c>
      <c r="U6" t="str">
        <f t="shared" si="9"/>
        <v xml:space="preserve">		else_if = {
			limit = { num_pops &lt; 66 }
			add_modifier = { modifier = "buy_influence_drain_0014" days = -1 }
		}
</v>
      </c>
      <c r="V6" t="str">
        <f t="shared" si="5"/>
        <v xml:space="preserve">		else_if = {
			limit = { num_pops &lt; 66 }
			add_modifier = { modifier = "buy_influence_drain_0028" days = -1 }
		}
</v>
      </c>
      <c r="W6" t="str">
        <f t="shared" si="6"/>
        <v xml:space="preserve">		else_if = {
			limit = { num_pops &lt; 66 }
			add_modifier = { modifier = "buy_influence_drain_0042" days = -1 }
		}
</v>
      </c>
      <c r="X6" t="str">
        <f t="shared" si="7"/>
        <v xml:space="preserve">		else_if = {
			limit = { num_pops &lt; 66 }
			add_modifier = { modifier = "buy_influence_drain_0056" days = -1 }
		}
</v>
      </c>
    </row>
    <row r="7" spans="1:24" x14ac:dyDescent="0.45">
      <c r="A7" s="2">
        <f>A6+12</f>
        <v>66</v>
      </c>
      <c r="B7">
        <f>A9-1</f>
        <v>89</v>
      </c>
      <c r="C7" s="6">
        <f>C6+0.2</f>
        <v>1.5999999999999999</v>
      </c>
      <c r="D7">
        <v>15.999999999999998</v>
      </c>
      <c r="E7">
        <v>31.999999999999996</v>
      </c>
      <c r="F7">
        <v>47.999999999999993</v>
      </c>
      <c r="G7">
        <v>63.999999999999993</v>
      </c>
      <c r="I7">
        <v>25</v>
      </c>
      <c r="J7">
        <f>INDEX(C:C,MATCH(I7,A:A,1))</f>
        <v>1</v>
      </c>
      <c r="N7" t="str">
        <f t="shared" si="8"/>
        <v xml:space="preserve">			else_if = {
				limit = { NOT = { AND = { num_pops &lt; 78 has_modifier = buy_influence_drain_0016 } } }
				country_event = { id = buy_influence.205 }
			}
</v>
      </c>
      <c r="O7" t="str">
        <f t="shared" si="2"/>
        <v xml:space="preserve">			else_if = {
				limit = { NOT = { AND = { num_pops &lt; 78 has_modifier = buy_influence_drain_0032 } } }
				country_event = { id = buy_influence.210 }
			}
</v>
      </c>
      <c r="P7" t="str">
        <f t="shared" si="3"/>
        <v xml:space="preserve">			else_if = {
				limit = { NOT = { AND = { num_pops &lt; 78 has_modifier = buy_influence_drain_0048 } } }
				country_event = { id = buy_influence.215 }
			}
</v>
      </c>
      <c r="Q7" t="str">
        <f t="shared" si="4"/>
        <v xml:space="preserve">			else_if = {
				limit = { NOT = { AND = { num_pops &lt; 78 has_modifier = buy_influence_drain_0064 } } }
				country_event = { id = buy_influence.220 }
			}
</v>
      </c>
      <c r="U7" t="str">
        <f t="shared" si="9"/>
        <v xml:space="preserve">		else_if = {
			limit = { num_pops &lt; 78 }
			add_modifier = { modifier = "buy_influence_drain_0016" days = -1 }
		}
</v>
      </c>
      <c r="V7" t="str">
        <f t="shared" si="5"/>
        <v xml:space="preserve">		else_if = {
			limit = { num_pops &lt; 78 }
			add_modifier = { modifier = "buy_influence_drain_0032" days = -1 }
		}
</v>
      </c>
      <c r="W7" t="str">
        <f t="shared" si="6"/>
        <v xml:space="preserve">		else_if = {
			limit = { num_pops &lt; 78 }
			add_modifier = { modifier = "buy_influence_drain_0048" days = -1 }
		}
</v>
      </c>
      <c r="X7" t="str">
        <f t="shared" si="7"/>
        <v xml:space="preserve">		else_if = {
			limit = { num_pops &lt; 78 }
			add_modifier = { modifier = "buy_influence_drain_0064" days = -1 }
		}
</v>
      </c>
    </row>
    <row r="8" spans="1:24" x14ac:dyDescent="0.45">
      <c r="A8" s="2">
        <f>A7+12</f>
        <v>78</v>
      </c>
      <c r="B8">
        <f>A10-1</f>
        <v>119</v>
      </c>
      <c r="C8" s="6">
        <f>C7+0.2</f>
        <v>1.7999999999999998</v>
      </c>
      <c r="D8">
        <v>18</v>
      </c>
      <c r="E8">
        <v>36</v>
      </c>
      <c r="F8">
        <v>53.999999999999993</v>
      </c>
      <c r="G8">
        <v>72</v>
      </c>
      <c r="I8">
        <v>30</v>
      </c>
      <c r="J8">
        <f>INDEX(C:C,MATCH(I8,A:A,1))</f>
        <v>1</v>
      </c>
      <c r="N8" t="str">
        <f t="shared" si="8"/>
        <v xml:space="preserve">			else_if = {
				limit = { NOT = { AND = { num_pops &lt; 90 has_modifier = buy_influence_drain_0018 } } }
				country_event = { id = buy_influence.205 }
			}
</v>
      </c>
      <c r="O8" t="str">
        <f t="shared" si="2"/>
        <v xml:space="preserve">			else_if = {
				limit = { NOT = { AND = { num_pops &lt; 90 has_modifier = buy_influence_drain_0036 } } }
				country_event = { id = buy_influence.210 }
			}
</v>
      </c>
      <c r="P8" t="str">
        <f t="shared" si="3"/>
        <v xml:space="preserve">			else_if = {
				limit = { NOT = { AND = { num_pops &lt; 90 has_modifier = buy_influence_drain_0054 } } }
				country_event = { id = buy_influence.215 }
			}
</v>
      </c>
      <c r="Q8" t="str">
        <f t="shared" si="4"/>
        <v xml:space="preserve">			else_if = {
				limit = { NOT = { AND = { num_pops &lt; 90 has_modifier = buy_influence_drain_0072 } } }
				country_event = { id = buy_influence.220 }
			}
</v>
      </c>
      <c r="U8" t="str">
        <f t="shared" si="9"/>
        <v xml:space="preserve">		else_if = {
			limit = { num_pops &lt; 90 }
			add_modifier = { modifier = "buy_influence_drain_0018" days = -1 }
		}
</v>
      </c>
      <c r="V8" t="str">
        <f t="shared" si="5"/>
        <v xml:space="preserve">		else_if = {
			limit = { num_pops &lt; 90 }
			add_modifier = { modifier = "buy_influence_drain_0036" days = -1 }
		}
</v>
      </c>
      <c r="W8" t="str">
        <f t="shared" si="6"/>
        <v xml:space="preserve">		else_if = {
			limit = { num_pops &lt; 90 }
			add_modifier = { modifier = "buy_influence_drain_0054" days = -1 }
		}
</v>
      </c>
      <c r="X8" t="str">
        <f t="shared" si="7"/>
        <v xml:space="preserve">		else_if = {
			limit = { num_pops &lt; 90 }
			add_modifier = { modifier = "buy_influence_drain_0072" days = -1 }
		}
</v>
      </c>
    </row>
    <row r="9" spans="1:24" x14ac:dyDescent="0.45">
      <c r="A9" s="2">
        <f>A8+12</f>
        <v>90</v>
      </c>
      <c r="B9">
        <f>A11-1</f>
        <v>149</v>
      </c>
      <c r="C9" s="6">
        <f>C8+0.2</f>
        <v>1.9999999999999998</v>
      </c>
      <c r="D9">
        <v>19.999999999999996</v>
      </c>
      <c r="E9">
        <v>39.999999999999993</v>
      </c>
      <c r="F9">
        <v>59.999999999999993</v>
      </c>
      <c r="G9">
        <v>79.999999999999986</v>
      </c>
      <c r="I9">
        <v>35</v>
      </c>
      <c r="J9">
        <f>INDEX(C:C,MATCH(I9,A:A,1))</f>
        <v>1</v>
      </c>
      <c r="N9" t="str">
        <f t="shared" si="8"/>
        <v xml:space="preserve">			else_if = {
				limit = { NOT = { AND = { num_pops &lt; 120 has_modifier = buy_influence_drain_0020 } } }
				country_event = { id = buy_influence.205 }
			}
</v>
      </c>
      <c r="O9" t="str">
        <f t="shared" si="2"/>
        <v xml:space="preserve">			else_if = {
				limit = { NOT = { AND = { num_pops &lt; 120 has_modifier = buy_influence_drain_0040 } } }
				country_event = { id = buy_influence.210 }
			}
</v>
      </c>
      <c r="P9" t="str">
        <f t="shared" si="3"/>
        <v xml:space="preserve">			else_if = {
				limit = { NOT = { AND = { num_pops &lt; 120 has_modifier = buy_influence_drain_0060 } } }
				country_event = { id = buy_influence.215 }
			}
</v>
      </c>
      <c r="Q9" t="str">
        <f t="shared" si="4"/>
        <v xml:space="preserve">			else_if = {
				limit = { NOT = { AND = { num_pops &lt; 120 has_modifier = buy_influence_drain_0080 } } }
				country_event = { id = buy_influence.220 }
			}
</v>
      </c>
      <c r="U9" t="str">
        <f t="shared" si="9"/>
        <v xml:space="preserve">		else_if = {
			limit = { num_pops &lt; 120 }
			add_modifier = { modifier = "buy_influence_drain_0020" days = -1 }
		}
</v>
      </c>
      <c r="V9" t="str">
        <f t="shared" si="5"/>
        <v xml:space="preserve">		else_if = {
			limit = { num_pops &lt; 120 }
			add_modifier = { modifier = "buy_influence_drain_0040" days = -1 }
		}
</v>
      </c>
      <c r="W9" t="str">
        <f t="shared" si="6"/>
        <v xml:space="preserve">		else_if = {
			limit = { num_pops &lt; 120 }
			add_modifier = { modifier = "buy_influence_drain_0060" days = -1 }
		}
</v>
      </c>
      <c r="X9" t="str">
        <f t="shared" si="7"/>
        <v xml:space="preserve">		else_if = {
			limit = { num_pops &lt; 120 }
			add_modifier = { modifier = "buy_influence_drain_0080" days = -1 }
		}
</v>
      </c>
    </row>
    <row r="10" spans="1:24" x14ac:dyDescent="0.45">
      <c r="A10" s="4">
        <f>A9+30</f>
        <v>120</v>
      </c>
      <c r="B10">
        <f>A11-1</f>
        <v>149</v>
      </c>
      <c r="C10" s="7">
        <f>C9+0.5</f>
        <v>2.5</v>
      </c>
      <c r="D10">
        <v>25</v>
      </c>
      <c r="E10">
        <v>50</v>
      </c>
      <c r="F10">
        <v>75</v>
      </c>
      <c r="G10">
        <v>100</v>
      </c>
      <c r="I10">
        <v>40</v>
      </c>
      <c r="J10">
        <f>INDEX(C:C,MATCH(I10,A:A,1))</f>
        <v>1</v>
      </c>
      <c r="N10" t="str">
        <f t="shared" si="8"/>
        <v xml:space="preserve">			else_if = {
				limit = { NOT = { AND = { num_pops &lt; 150 has_modifier = buy_influence_drain_0025 } } }
				country_event = { id = buy_influence.205 }
			}
</v>
      </c>
      <c r="O10" t="str">
        <f t="shared" si="2"/>
        <v xml:space="preserve">			else_if = {
				limit = { NOT = { AND = { num_pops &lt; 150 has_modifier = buy_influence_drain_0050 } } }
				country_event = { id = buy_influence.210 }
			}
</v>
      </c>
      <c r="P10" t="str">
        <f t="shared" si="3"/>
        <v xml:space="preserve">			else_if = {
				limit = { NOT = { AND = { num_pops &lt; 150 has_modifier = buy_influence_drain_0075 } } }
				country_event = { id = buy_influence.215 }
			}
</v>
      </c>
      <c r="Q10" t="str">
        <f t="shared" si="4"/>
        <v xml:space="preserve">			else_if = {
				limit = { NOT = { AND = { num_pops &lt; 150 has_modifier = buy_influence_drain_0100 } } }
				country_event = { id = buy_influence.220 }
			}
</v>
      </c>
      <c r="U10" t="str">
        <f t="shared" si="9"/>
        <v xml:space="preserve">		else_if = {
			limit = { num_pops &lt; 150 }
			add_modifier = { modifier = "buy_influence_drain_0025" days = -1 }
		}
</v>
      </c>
      <c r="V10" t="str">
        <f t="shared" si="5"/>
        <v xml:space="preserve">		else_if = {
			limit = { num_pops &lt; 150 }
			add_modifier = { modifier = "buy_influence_drain_0050" days = -1 }
		}
</v>
      </c>
      <c r="W10" t="str">
        <f t="shared" si="6"/>
        <v xml:space="preserve">		else_if = {
			limit = { num_pops &lt; 150 }
			add_modifier = { modifier = "buy_influence_drain_0075" days = -1 }
		}
</v>
      </c>
      <c r="X10" t="str">
        <f t="shared" si="7"/>
        <v xml:space="preserve">		else_if = {
			limit = { num_pops &lt; 150 }
			add_modifier = { modifier = "buy_influence_drain_0100" days = -1 }
		}
</v>
      </c>
    </row>
    <row r="11" spans="1:24" x14ac:dyDescent="0.45">
      <c r="A11" s="4">
        <f>A10+30</f>
        <v>150</v>
      </c>
      <c r="B11">
        <f>A12-1</f>
        <v>179</v>
      </c>
      <c r="C11" s="7">
        <f>C10+0.5</f>
        <v>3</v>
      </c>
      <c r="D11">
        <v>30</v>
      </c>
      <c r="E11">
        <v>60</v>
      </c>
      <c r="F11">
        <v>90</v>
      </c>
      <c r="G11">
        <v>120</v>
      </c>
      <c r="I11">
        <v>45</v>
      </c>
      <c r="J11">
        <f>INDEX(C:C,MATCH(I11,A:A,1))</f>
        <v>1.2</v>
      </c>
      <c r="N11" t="str">
        <f t="shared" si="8"/>
        <v xml:space="preserve">			else_if = {
				limit = { NOT = { AND = { num_pops &lt; 180 has_modifier = buy_influence_drain_0030 } } }
				country_event = { id = buy_influence.205 }
			}
</v>
      </c>
      <c r="O11" t="str">
        <f t="shared" si="2"/>
        <v xml:space="preserve">			else_if = {
				limit = { NOT = { AND = { num_pops &lt; 180 has_modifier = buy_influence_drain_0060 } } }
				country_event = { id = buy_influence.210 }
			}
</v>
      </c>
      <c r="P11" t="str">
        <f t="shared" si="3"/>
        <v xml:space="preserve">			else_if = {
				limit = { NOT = { AND = { num_pops &lt; 180 has_modifier = buy_influence_drain_0090 } } }
				country_event = { id = buy_influence.215 }
			}
</v>
      </c>
      <c r="Q11" t="str">
        <f t="shared" si="4"/>
        <v xml:space="preserve">			else_if = {
				limit = { NOT = { AND = { num_pops &lt; 180 has_modifier = buy_influence_drain_0120 } } }
				country_event = { id = buy_influence.220 }
			}
</v>
      </c>
      <c r="U11" t="str">
        <f t="shared" si="9"/>
        <v xml:space="preserve">		else_if = {
			limit = { num_pops &lt; 180 }
			add_modifier = { modifier = "buy_influence_drain_0030" days = -1 }
		}
</v>
      </c>
      <c r="V11" t="str">
        <f t="shared" si="5"/>
        <v xml:space="preserve">		else_if = {
			limit = { num_pops &lt; 180 }
			add_modifier = { modifier = "buy_influence_drain_0060" days = -1 }
		}
</v>
      </c>
      <c r="W11" t="str">
        <f t="shared" si="6"/>
        <v xml:space="preserve">		else_if = {
			limit = { num_pops &lt; 180 }
			add_modifier = { modifier = "buy_influence_drain_0090" days = -1 }
		}
</v>
      </c>
      <c r="X11" t="str">
        <f t="shared" si="7"/>
        <v xml:space="preserve">		else_if = {
			limit = { num_pops &lt; 180 }
			add_modifier = { modifier = "buy_influence_drain_0120" days = -1 }
		}
</v>
      </c>
    </row>
    <row r="12" spans="1:24" x14ac:dyDescent="0.45">
      <c r="A12" s="4">
        <f>A11+30</f>
        <v>180</v>
      </c>
      <c r="B12">
        <f>A13-1</f>
        <v>209</v>
      </c>
      <c r="C12" s="7">
        <f>C11+0.5</f>
        <v>3.5</v>
      </c>
      <c r="D12">
        <v>35</v>
      </c>
      <c r="E12">
        <v>70</v>
      </c>
      <c r="F12">
        <v>105</v>
      </c>
      <c r="G12">
        <v>140</v>
      </c>
      <c r="I12">
        <v>50</v>
      </c>
      <c r="J12">
        <f>INDEX(C:C,MATCH(I12,A:A,1))</f>
        <v>1.2</v>
      </c>
      <c r="N12" t="str">
        <f t="shared" si="8"/>
        <v xml:space="preserve">			else_if = {
				limit = { NOT = { AND = { num_pops &lt; 210 has_modifier = buy_influence_drain_0035 } } }
				country_event = { id = buy_influence.205 }
			}
</v>
      </c>
      <c r="O12" t="str">
        <f t="shared" si="2"/>
        <v xml:space="preserve">			else_if = {
				limit = { NOT = { AND = { num_pops &lt; 210 has_modifier = buy_influence_drain_0070 } } }
				country_event = { id = buy_influence.210 }
			}
</v>
      </c>
      <c r="P12" t="str">
        <f t="shared" si="3"/>
        <v xml:space="preserve">			else_if = {
				limit = { NOT = { AND = { num_pops &lt; 210 has_modifier = buy_influence_drain_0105 } } }
				country_event = { id = buy_influence.215 }
			}
</v>
      </c>
      <c r="Q12" t="str">
        <f t="shared" si="4"/>
        <v xml:space="preserve">			else_if = {
				limit = { NOT = { AND = { num_pops &lt; 210 has_modifier = buy_influence_drain_0140 } } }
				country_event = { id = buy_influence.220 }
			}
</v>
      </c>
      <c r="U12" t="str">
        <f t="shared" si="9"/>
        <v xml:space="preserve">		else_if = {
			limit = { num_pops &lt; 210 }
			add_modifier = { modifier = "buy_influence_drain_0035" days = -1 }
		}
</v>
      </c>
      <c r="V12" t="str">
        <f t="shared" si="5"/>
        <v xml:space="preserve">		else_if = {
			limit = { num_pops &lt; 210 }
			add_modifier = { modifier = "buy_influence_drain_0070" days = -1 }
		}
</v>
      </c>
      <c r="W12" t="str">
        <f t="shared" si="6"/>
        <v xml:space="preserve">		else_if = {
			limit = { num_pops &lt; 210 }
			add_modifier = { modifier = "buy_influence_drain_0105" days = -1 }
		}
</v>
      </c>
      <c r="X12" t="str">
        <f t="shared" si="7"/>
        <v xml:space="preserve">		else_if = {
			limit = { num_pops &lt; 210 }
			add_modifier = { modifier = "buy_influence_drain_0140" days = -1 }
		}
</v>
      </c>
    </row>
    <row r="13" spans="1:24" x14ac:dyDescent="0.45">
      <c r="A13" s="4">
        <f>A12+30</f>
        <v>210</v>
      </c>
      <c r="B13">
        <f>A14-1</f>
        <v>239</v>
      </c>
      <c r="C13" s="7">
        <f>C12+0.5</f>
        <v>4</v>
      </c>
      <c r="D13">
        <v>40</v>
      </c>
      <c r="E13">
        <v>80</v>
      </c>
      <c r="F13">
        <v>120</v>
      </c>
      <c r="G13">
        <v>160</v>
      </c>
      <c r="I13">
        <v>55</v>
      </c>
      <c r="J13">
        <f>INDEX(C:C,MATCH(I13,A:A,1))</f>
        <v>1.4</v>
      </c>
      <c r="N13" t="str">
        <f t="shared" si="8"/>
        <v xml:space="preserve">			else_if = {
				limit = { NOT = { AND = { num_pops &lt; 240 has_modifier = buy_influence_drain_0040 } } }
				country_event = { id = buy_influence.205 }
			}
</v>
      </c>
      <c r="O13" t="str">
        <f t="shared" si="2"/>
        <v xml:space="preserve">			else_if = {
				limit = { NOT = { AND = { num_pops &lt; 240 has_modifier = buy_influence_drain_0080 } } }
				country_event = { id = buy_influence.210 }
			}
</v>
      </c>
      <c r="P13" t="str">
        <f t="shared" si="3"/>
        <v xml:space="preserve">			else_if = {
				limit = { NOT = { AND = { num_pops &lt; 240 has_modifier = buy_influence_drain_0120 } } }
				country_event = { id = buy_influence.215 }
			}
</v>
      </c>
      <c r="Q13" t="str">
        <f t="shared" si="4"/>
        <v xml:space="preserve">			else_if = {
				limit = { NOT = { AND = { num_pops &lt; 240 has_modifier = buy_influence_drain_0160 } } }
				country_event = { id = buy_influence.220 }
			}
</v>
      </c>
      <c r="U13" t="str">
        <f t="shared" si="9"/>
        <v xml:space="preserve">		else_if = {
			limit = { num_pops &lt; 240 }
			add_modifier = { modifier = "buy_influence_drain_0040" days = -1 }
		}
</v>
      </c>
      <c r="V13" t="str">
        <f t="shared" si="5"/>
        <v xml:space="preserve">		else_if = {
			limit = { num_pops &lt; 240 }
			add_modifier = { modifier = "buy_influence_drain_0080" days = -1 }
		}
</v>
      </c>
      <c r="W13" t="str">
        <f t="shared" si="6"/>
        <v xml:space="preserve">		else_if = {
			limit = { num_pops &lt; 240 }
			add_modifier = { modifier = "buy_influence_drain_0120" days = -1 }
		}
</v>
      </c>
      <c r="X13" t="str">
        <f t="shared" si="7"/>
        <v xml:space="preserve">		else_if = {
			limit = { num_pops &lt; 240 }
			add_modifier = { modifier = "buy_influence_drain_0160" days = -1 }
		}
</v>
      </c>
    </row>
    <row r="14" spans="1:24" x14ac:dyDescent="0.45">
      <c r="A14" s="4">
        <f>A13+30</f>
        <v>240</v>
      </c>
      <c r="B14">
        <f>A15-1</f>
        <v>269</v>
      </c>
      <c r="C14" s="7">
        <f>C13+0.5</f>
        <v>4.5</v>
      </c>
      <c r="D14">
        <v>45</v>
      </c>
      <c r="E14">
        <v>90</v>
      </c>
      <c r="F14">
        <v>135</v>
      </c>
      <c r="G14">
        <v>180</v>
      </c>
      <c r="I14">
        <v>60</v>
      </c>
      <c r="J14">
        <f>INDEX(C:C,MATCH(I14,A:A,1))</f>
        <v>1.4</v>
      </c>
      <c r="N14" t="str">
        <f t="shared" si="8"/>
        <v xml:space="preserve">			else_if = {
				limit = { NOT = { AND = { num_pops &lt; 270 has_modifier = buy_influence_drain_0045 } } }
				country_event = { id = buy_influence.205 }
			}
</v>
      </c>
      <c r="O14" t="str">
        <f t="shared" si="2"/>
        <v xml:space="preserve">			else_if = {
				limit = { NOT = { AND = { num_pops &lt; 270 has_modifier = buy_influence_drain_0090 } } }
				country_event = { id = buy_influence.210 }
			}
</v>
      </c>
      <c r="P14" t="str">
        <f t="shared" si="3"/>
        <v xml:space="preserve">			else_if = {
				limit = { NOT = { AND = { num_pops &lt; 270 has_modifier = buy_influence_drain_0135 } } }
				country_event = { id = buy_influence.215 }
			}
</v>
      </c>
      <c r="Q14" t="str">
        <f t="shared" si="4"/>
        <v xml:space="preserve">			else_if = {
				limit = { NOT = { AND = { num_pops &lt; 270 has_modifier = buy_influence_drain_0180 } } }
				country_event = { id = buy_influence.220 }
			}
</v>
      </c>
      <c r="U14" t="str">
        <f t="shared" si="9"/>
        <v xml:space="preserve">		else_if = {
			limit = { num_pops &lt; 270 }
			add_modifier = { modifier = "buy_influence_drain_0045" days = -1 }
		}
</v>
      </c>
      <c r="V14" t="str">
        <f t="shared" si="5"/>
        <v xml:space="preserve">		else_if = {
			limit = { num_pops &lt; 270 }
			add_modifier = { modifier = "buy_influence_drain_0090" days = -1 }
		}
</v>
      </c>
      <c r="W14" t="str">
        <f t="shared" si="6"/>
        <v xml:space="preserve">		else_if = {
			limit = { num_pops &lt; 270 }
			add_modifier = { modifier = "buy_influence_drain_0135" days = -1 }
		}
</v>
      </c>
      <c r="X14" t="str">
        <f t="shared" si="7"/>
        <v xml:space="preserve">		else_if = {
			limit = { num_pops &lt; 270 }
			add_modifier = { modifier = "buy_influence_drain_0180" days = -1 }
		}
</v>
      </c>
    </row>
    <row r="15" spans="1:24" x14ac:dyDescent="0.45">
      <c r="A15" s="4">
        <f>A14+30</f>
        <v>270</v>
      </c>
      <c r="B15">
        <f>A16-1</f>
        <v>329</v>
      </c>
      <c r="C15" s="7">
        <f>C14+0.5</f>
        <v>5</v>
      </c>
      <c r="D15">
        <v>50</v>
      </c>
      <c r="E15">
        <v>100</v>
      </c>
      <c r="F15">
        <v>150</v>
      </c>
      <c r="G15">
        <v>200</v>
      </c>
      <c r="I15">
        <v>65</v>
      </c>
      <c r="J15">
        <f>INDEX(C:C,MATCH(I15,A:A,1))</f>
        <v>1.4</v>
      </c>
      <c r="N15" t="str">
        <f t="shared" si="8"/>
        <v xml:space="preserve">			else_if = {
				limit = { NOT = { AND = { num_pops &lt; 330 has_modifier = buy_influence_drain_0050 } } }
				country_event = { id = buy_influence.205 }
			}
</v>
      </c>
      <c r="O15" t="str">
        <f t="shared" si="2"/>
        <v xml:space="preserve">			else_if = {
				limit = { NOT = { AND = { num_pops &lt; 330 has_modifier = buy_influence_drain_0100 } } }
				country_event = { id = buy_influence.210 }
			}
</v>
      </c>
      <c r="P15" t="str">
        <f t="shared" si="3"/>
        <v xml:space="preserve">			else_if = {
				limit = { NOT = { AND = { num_pops &lt; 330 has_modifier = buy_influence_drain_0150 } } }
				country_event = { id = buy_influence.215 }
			}
</v>
      </c>
      <c r="Q15" t="str">
        <f t="shared" si="4"/>
        <v xml:space="preserve">			else_if = {
				limit = { NOT = { AND = { num_pops &lt; 330 has_modifier = buy_influence_drain_0200 } } }
				country_event = { id = buy_influence.220 }
			}
</v>
      </c>
      <c r="U15" t="str">
        <f t="shared" si="9"/>
        <v xml:space="preserve">		else_if = {
			limit = { num_pops &lt; 330 }
			add_modifier = { modifier = "buy_influence_drain_0050" days = -1 }
		}
</v>
      </c>
      <c r="V15" t="str">
        <f t="shared" si="5"/>
        <v xml:space="preserve">		else_if = {
			limit = { num_pops &lt; 330 }
			add_modifier = { modifier = "buy_influence_drain_0100" days = -1 }
		}
</v>
      </c>
      <c r="W15" t="str">
        <f t="shared" si="6"/>
        <v xml:space="preserve">		else_if = {
			limit = { num_pops &lt; 330 }
			add_modifier = { modifier = "buy_influence_drain_0150" days = -1 }
		}
</v>
      </c>
      <c r="X15" t="str">
        <f t="shared" si="7"/>
        <v xml:space="preserve">		else_if = {
			limit = { num_pops &lt; 330 }
			add_modifier = { modifier = "buy_influence_drain_0200" days = -1 }
		}
</v>
      </c>
    </row>
    <row r="16" spans="1:24" x14ac:dyDescent="0.45">
      <c r="A16" s="3">
        <f>A15+60</f>
        <v>330</v>
      </c>
      <c r="B16">
        <f>A17-1</f>
        <v>389</v>
      </c>
      <c r="C16" s="8">
        <f>C15+1</f>
        <v>6</v>
      </c>
      <c r="D16">
        <v>60</v>
      </c>
      <c r="E16">
        <v>120</v>
      </c>
      <c r="F16">
        <v>180</v>
      </c>
      <c r="G16">
        <v>240</v>
      </c>
      <c r="I16">
        <v>70</v>
      </c>
      <c r="J16">
        <f>INDEX(C:C,MATCH(I16,A:A,1))</f>
        <v>1.5999999999999999</v>
      </c>
      <c r="N16" t="str">
        <f t="shared" si="8"/>
        <v xml:space="preserve">			else_if = {
				limit = { NOT = { AND = { num_pops &lt; 390 has_modifier = buy_influence_drain_0060 } } }
				country_event = { id = buy_influence.205 }
			}
</v>
      </c>
      <c r="O16" t="str">
        <f t="shared" si="2"/>
        <v xml:space="preserve">			else_if = {
				limit = { NOT = { AND = { num_pops &lt; 390 has_modifier = buy_influence_drain_0120 } } }
				country_event = { id = buy_influence.210 }
			}
</v>
      </c>
      <c r="P16" t="str">
        <f t="shared" si="3"/>
        <v xml:space="preserve">			else_if = {
				limit = { NOT = { AND = { num_pops &lt; 390 has_modifier = buy_influence_drain_0180 } } }
				country_event = { id = buy_influence.215 }
			}
</v>
      </c>
      <c r="Q16" t="str">
        <f t="shared" si="4"/>
        <v xml:space="preserve">			else_if = {
				limit = { NOT = { AND = { num_pops &lt; 390 has_modifier = buy_influence_drain_0240 } } }
				country_event = { id = buy_influence.220 }
			}
</v>
      </c>
      <c r="U16" t="str">
        <f t="shared" si="9"/>
        <v xml:space="preserve">		else_if = {
			limit = { num_pops &lt; 390 }
			add_modifier = { modifier = "buy_influence_drain_0060" days = -1 }
		}
</v>
      </c>
      <c r="V16" t="str">
        <f t="shared" si="5"/>
        <v xml:space="preserve">		else_if = {
			limit = { num_pops &lt; 390 }
			add_modifier = { modifier = "buy_influence_drain_0120" days = -1 }
		}
</v>
      </c>
      <c r="W16" t="str">
        <f t="shared" si="6"/>
        <v xml:space="preserve">		else_if = {
			limit = { num_pops &lt; 390 }
			add_modifier = { modifier = "buy_influence_drain_0180" days = -1 }
		}
</v>
      </c>
      <c r="X16" t="str">
        <f t="shared" si="7"/>
        <v xml:space="preserve">		else_if = {
			limit = { num_pops &lt; 390 }
			add_modifier = { modifier = "buy_influence_drain_0240" days = -1 }
		}
</v>
      </c>
    </row>
    <row r="17" spans="1:24" x14ac:dyDescent="0.45">
      <c r="A17" s="3">
        <f>A16+60</f>
        <v>390</v>
      </c>
      <c r="B17">
        <f>A18-1</f>
        <v>449</v>
      </c>
      <c r="C17" s="8">
        <f>C16+1</f>
        <v>7</v>
      </c>
      <c r="D17">
        <v>70</v>
      </c>
      <c r="E17">
        <v>140</v>
      </c>
      <c r="F17">
        <v>210</v>
      </c>
      <c r="G17">
        <v>280</v>
      </c>
      <c r="I17">
        <v>75</v>
      </c>
      <c r="J17">
        <f>INDEX(C:C,MATCH(I17,A:A,1))</f>
        <v>1.5999999999999999</v>
      </c>
      <c r="N17" t="str">
        <f t="shared" si="8"/>
        <v xml:space="preserve">			else_if = {
				limit = { NOT = { AND = { num_pops &lt; 450 has_modifier = buy_influence_drain_0070 } } }
				country_event = { id = buy_influence.205 }
			}
</v>
      </c>
      <c r="O17" t="str">
        <f t="shared" si="2"/>
        <v xml:space="preserve">			else_if = {
				limit = { NOT = { AND = { num_pops &lt; 450 has_modifier = buy_influence_drain_0140 } } }
				country_event = { id = buy_influence.210 }
			}
</v>
      </c>
      <c r="P17" t="str">
        <f t="shared" si="3"/>
        <v xml:space="preserve">			else_if = {
				limit = { NOT = { AND = { num_pops &lt; 450 has_modifier = buy_influence_drain_0210 } } }
				country_event = { id = buy_influence.215 }
			}
</v>
      </c>
      <c r="Q17" t="str">
        <f t="shared" si="4"/>
        <v xml:space="preserve">			else_if = {
				limit = { NOT = { AND = { num_pops &lt; 450 has_modifier = buy_influence_drain_0280 } } }
				country_event = { id = buy_influence.220 }
			}
</v>
      </c>
      <c r="U17" t="str">
        <f t="shared" si="9"/>
        <v xml:space="preserve">		else_if = {
			limit = { num_pops &lt; 450 }
			add_modifier = { modifier = "buy_influence_drain_0070" days = -1 }
		}
</v>
      </c>
      <c r="V17" t="str">
        <f t="shared" si="5"/>
        <v xml:space="preserve">		else_if = {
			limit = { num_pops &lt; 450 }
			add_modifier = { modifier = "buy_influence_drain_0140" days = -1 }
		}
</v>
      </c>
      <c r="W17" t="str">
        <f t="shared" si="6"/>
        <v xml:space="preserve">		else_if = {
			limit = { num_pops &lt; 450 }
			add_modifier = { modifier = "buy_influence_drain_0210" days = -1 }
		}
</v>
      </c>
      <c r="X17" t="str">
        <f t="shared" si="7"/>
        <v xml:space="preserve">		else_if = {
			limit = { num_pops &lt; 450 }
			add_modifier = { modifier = "buy_influence_drain_0280" days = -1 }
		}
</v>
      </c>
    </row>
    <row r="18" spans="1:24" x14ac:dyDescent="0.45">
      <c r="A18" s="3">
        <f>A17+60</f>
        <v>450</v>
      </c>
      <c r="B18">
        <f>A19-1</f>
        <v>509</v>
      </c>
      <c r="C18" s="8">
        <f>C17+1</f>
        <v>8</v>
      </c>
      <c r="D18">
        <v>80</v>
      </c>
      <c r="E18">
        <v>160</v>
      </c>
      <c r="F18">
        <v>240</v>
      </c>
      <c r="G18">
        <v>320</v>
      </c>
      <c r="I18">
        <v>80</v>
      </c>
      <c r="J18">
        <f>INDEX(C:C,MATCH(I18,A:A,1))</f>
        <v>1.7999999999999998</v>
      </c>
      <c r="N18" t="str">
        <f t="shared" si="8"/>
        <v xml:space="preserve">			else_if = {
				limit = { NOT = { AND = { num_pops &lt; 510 has_modifier = buy_influence_drain_0080 } } }
				country_event = { id = buy_influence.205 }
			}
</v>
      </c>
      <c r="O18" t="str">
        <f t="shared" si="2"/>
        <v xml:space="preserve">			else_if = {
				limit = { NOT = { AND = { num_pops &lt; 510 has_modifier = buy_influence_drain_0160 } } }
				country_event = { id = buy_influence.210 }
			}
</v>
      </c>
      <c r="P18" t="str">
        <f t="shared" si="3"/>
        <v xml:space="preserve">			else_if = {
				limit = { NOT = { AND = { num_pops &lt; 510 has_modifier = buy_influence_drain_0240 } } }
				country_event = { id = buy_influence.215 }
			}
</v>
      </c>
      <c r="Q18" t="str">
        <f t="shared" si="4"/>
        <v xml:space="preserve">			else_if = {
				limit = { NOT = { AND = { num_pops &lt; 510 has_modifier = buy_influence_drain_0320 } } }
				country_event = { id = buy_influence.220 }
			}
</v>
      </c>
      <c r="U18" t="str">
        <f t="shared" si="9"/>
        <v xml:space="preserve">		else_if = {
			limit = { num_pops &lt; 510 }
			add_modifier = { modifier = "buy_influence_drain_0080" days = -1 }
		}
</v>
      </c>
      <c r="V18" t="str">
        <f t="shared" si="5"/>
        <v xml:space="preserve">		else_if = {
			limit = { num_pops &lt; 510 }
			add_modifier = { modifier = "buy_influence_drain_0160" days = -1 }
		}
</v>
      </c>
      <c r="W18" t="str">
        <f t="shared" si="6"/>
        <v xml:space="preserve">		else_if = {
			limit = { num_pops &lt; 510 }
			add_modifier = { modifier = "buy_influence_drain_0240" days = -1 }
		}
</v>
      </c>
      <c r="X18" t="str">
        <f t="shared" si="7"/>
        <v xml:space="preserve">		else_if = {
			limit = { num_pops &lt; 510 }
			add_modifier = { modifier = "buy_influence_drain_0320" days = -1 }
		}
</v>
      </c>
    </row>
    <row r="19" spans="1:24" x14ac:dyDescent="0.45">
      <c r="A19" s="3">
        <f>A18+60</f>
        <v>510</v>
      </c>
      <c r="B19">
        <f>A20-1</f>
        <v>569</v>
      </c>
      <c r="C19" s="8">
        <f>C18+1</f>
        <v>9</v>
      </c>
      <c r="D19">
        <v>90</v>
      </c>
      <c r="E19">
        <v>180</v>
      </c>
      <c r="F19">
        <v>270</v>
      </c>
      <c r="G19">
        <v>360</v>
      </c>
      <c r="I19">
        <v>85</v>
      </c>
      <c r="J19">
        <f>INDEX(C:C,MATCH(I19,A:A,1))</f>
        <v>1.7999999999999998</v>
      </c>
      <c r="N19" t="str">
        <f t="shared" si="8"/>
        <v xml:space="preserve">			else_if = {
				limit = { NOT = { AND = { num_pops &lt; 570 has_modifier = buy_influence_drain_0090 } } }
				country_event = { id = buy_influence.205 }
			}
</v>
      </c>
      <c r="O19" t="str">
        <f t="shared" si="2"/>
        <v xml:space="preserve">			else_if = {
				limit = { NOT = { AND = { num_pops &lt; 570 has_modifier = buy_influence_drain_0180 } } }
				country_event = { id = buy_influence.210 }
			}
</v>
      </c>
      <c r="P19" t="str">
        <f t="shared" si="3"/>
        <v xml:space="preserve">			else_if = {
				limit = { NOT = { AND = { num_pops &lt; 570 has_modifier = buy_influence_drain_0270 } } }
				country_event = { id = buy_influence.215 }
			}
</v>
      </c>
      <c r="Q19" t="str">
        <f t="shared" si="4"/>
        <v xml:space="preserve">			else_if = {
				limit = { NOT = { AND = { num_pops &lt; 570 has_modifier = buy_influence_drain_0360 } } }
				country_event = { id = buy_influence.220 }
			}
</v>
      </c>
      <c r="U19" t="str">
        <f t="shared" si="9"/>
        <v xml:space="preserve">		else_if = {
			limit = { num_pops &lt; 570 }
			add_modifier = { modifier = "buy_influence_drain_0090" days = -1 }
		}
</v>
      </c>
      <c r="V19" t="str">
        <f t="shared" si="5"/>
        <v xml:space="preserve">		else_if = {
			limit = { num_pops &lt; 570 }
			add_modifier = { modifier = "buy_influence_drain_0180" days = -1 }
		}
</v>
      </c>
      <c r="W19" t="str">
        <f t="shared" si="6"/>
        <v xml:space="preserve">		else_if = {
			limit = { num_pops &lt; 570 }
			add_modifier = { modifier = "buy_influence_drain_0270" days = -1 }
		}
</v>
      </c>
      <c r="X19" t="str">
        <f t="shared" si="7"/>
        <v xml:space="preserve">		else_if = {
			limit = { num_pops &lt; 570 }
			add_modifier = { modifier = "buy_influence_drain_0360" days = -1 }
		}
</v>
      </c>
    </row>
    <row r="20" spans="1:24" x14ac:dyDescent="0.45">
      <c r="A20" s="3">
        <f>A19+60</f>
        <v>570</v>
      </c>
      <c r="B20">
        <f>A21-1</f>
        <v>689</v>
      </c>
      <c r="C20" s="8">
        <f>C19+1</f>
        <v>10</v>
      </c>
      <c r="D20">
        <v>100</v>
      </c>
      <c r="E20">
        <v>200</v>
      </c>
      <c r="F20">
        <v>300</v>
      </c>
      <c r="G20">
        <v>400</v>
      </c>
      <c r="I20">
        <v>90</v>
      </c>
      <c r="J20">
        <f>INDEX(C:C,MATCH(I20,A:A,1))</f>
        <v>1.9999999999999998</v>
      </c>
      <c r="N20" t="str">
        <f t="shared" si="8"/>
        <v xml:space="preserve">			else_if = {
				limit = { NOT = { AND = { num_pops &lt; 690 has_modifier = buy_influence_drain_0100 } } }
				country_event = { id = buy_influence.205 }
			}
</v>
      </c>
      <c r="O20" t="str">
        <f t="shared" si="2"/>
        <v xml:space="preserve">			else_if = {
				limit = { NOT = { AND = { num_pops &lt; 690 has_modifier = buy_influence_drain_0200 } } }
				country_event = { id = buy_influence.210 }
			}
</v>
      </c>
      <c r="P20" t="str">
        <f t="shared" si="3"/>
        <v xml:space="preserve">			else_if = {
				limit = { NOT = { AND = { num_pops &lt; 690 has_modifier = buy_influence_drain_0300 } } }
				country_event = { id = buy_influence.215 }
			}
</v>
      </c>
      <c r="Q20" t="str">
        <f t="shared" si="4"/>
        <v xml:space="preserve">			else_if = {
				limit = { NOT = { AND = { num_pops &lt; 690 has_modifier = buy_influence_drain_0400 } } }
				country_event = { id = buy_influence.220 }
			}
</v>
      </c>
      <c r="U20" t="str">
        <f t="shared" si="9"/>
        <v xml:space="preserve">		else_if = {
			limit = { num_pops &lt; 690 }
			add_modifier = { modifier = "buy_influence_drain_0100" days = -1 }
		}
</v>
      </c>
      <c r="V20" t="str">
        <f t="shared" si="5"/>
        <v xml:space="preserve">		else_if = {
			limit = { num_pops &lt; 690 }
			add_modifier = { modifier = "buy_influence_drain_0200" days = -1 }
		}
</v>
      </c>
      <c r="W20" t="str">
        <f t="shared" si="6"/>
        <v xml:space="preserve">		else_if = {
			limit = { num_pops &lt; 690 }
			add_modifier = { modifier = "buy_influence_drain_0300" days = -1 }
		}
</v>
      </c>
      <c r="X20" t="str">
        <f t="shared" si="7"/>
        <v xml:space="preserve">		else_if = {
			limit = { num_pops &lt; 690 }
			add_modifier = { modifier = "buy_influence_drain_0400" days = -1 }
		}
</v>
      </c>
    </row>
    <row r="21" spans="1:24" x14ac:dyDescent="0.45">
      <c r="A21" s="5">
        <f>A20+120</f>
        <v>690</v>
      </c>
      <c r="B21">
        <f>A22-1</f>
        <v>809</v>
      </c>
      <c r="C21" s="9">
        <f>C20+2</f>
        <v>12</v>
      </c>
      <c r="D21">
        <v>120</v>
      </c>
      <c r="E21">
        <v>240</v>
      </c>
      <c r="F21">
        <v>360</v>
      </c>
      <c r="G21">
        <v>480</v>
      </c>
      <c r="I21">
        <v>95</v>
      </c>
      <c r="J21">
        <f>INDEX(C:C,MATCH(I21,A:A,1))</f>
        <v>1.9999999999999998</v>
      </c>
      <c r="N21" t="str">
        <f t="shared" si="8"/>
        <v xml:space="preserve">			else_if = {
				limit = { NOT = { AND = { num_pops &lt; 810 has_modifier = buy_influence_drain_0120 } } }
				country_event = { id = buy_influence.205 }
			}
</v>
      </c>
      <c r="O21" t="str">
        <f t="shared" si="2"/>
        <v xml:space="preserve">			else_if = {
				limit = { NOT = { AND = { num_pops &lt; 810 has_modifier = buy_influence_drain_0240 } } }
				country_event = { id = buy_influence.210 }
			}
</v>
      </c>
      <c r="P21" t="str">
        <f t="shared" si="3"/>
        <v xml:space="preserve">			else_if = {
				limit = { NOT = { AND = { num_pops &lt; 810 has_modifier = buy_influence_drain_0360 } } }
				country_event = { id = buy_influence.215 }
			}
</v>
      </c>
      <c r="Q21" t="str">
        <f t="shared" si="4"/>
        <v xml:space="preserve">			else_if = {
				limit = { NOT = { AND = { num_pops &lt; 810 has_modifier = buy_influence_drain_0480 } } }
				country_event = { id = buy_influence.220 }
			}
</v>
      </c>
      <c r="U21" t="str">
        <f t="shared" si="9"/>
        <v xml:space="preserve">		else_if = {
			limit = { num_pops &lt; 810 }
			add_modifier = { modifier = "buy_influence_drain_0120" days = -1 }
		}
</v>
      </c>
      <c r="V21" t="str">
        <f t="shared" si="5"/>
        <v xml:space="preserve">		else_if = {
			limit = { num_pops &lt; 810 }
			add_modifier = { modifier = "buy_influence_drain_0240" days = -1 }
		}
</v>
      </c>
      <c r="W21" t="str">
        <f t="shared" si="6"/>
        <v xml:space="preserve">		else_if = {
			limit = { num_pops &lt; 810 }
			add_modifier = { modifier = "buy_influence_drain_0360" days = -1 }
		}
</v>
      </c>
      <c r="X21" t="str">
        <f t="shared" si="7"/>
        <v xml:space="preserve">		else_if = {
			limit = { num_pops &lt; 810 }
			add_modifier = { modifier = "buy_influence_drain_0480" days = -1 }
		}
</v>
      </c>
    </row>
    <row r="22" spans="1:24" x14ac:dyDescent="0.45">
      <c r="A22" s="5">
        <f>A21+120</f>
        <v>810</v>
      </c>
      <c r="B22">
        <f>A23-1</f>
        <v>929</v>
      </c>
      <c r="C22" s="9">
        <f>C21+2</f>
        <v>14</v>
      </c>
      <c r="D22">
        <v>140</v>
      </c>
      <c r="E22">
        <v>280</v>
      </c>
      <c r="F22">
        <v>420</v>
      </c>
      <c r="G22">
        <v>560</v>
      </c>
      <c r="I22">
        <v>100</v>
      </c>
      <c r="J22">
        <f>INDEX(C:C,MATCH(I22,A:A,1))</f>
        <v>1.9999999999999998</v>
      </c>
      <c r="N22" t="str">
        <f t="shared" si="8"/>
        <v xml:space="preserve">			else_if = {
				limit = { NOT = { AND = { num_pops &lt; 930 has_modifier = buy_influence_drain_0140 } } }
				country_event = { id = buy_influence.205 }
			}
</v>
      </c>
      <c r="O22" t="str">
        <f t="shared" si="2"/>
        <v xml:space="preserve">			else_if = {
				limit = { NOT = { AND = { num_pops &lt; 930 has_modifier = buy_influence_drain_0280 } } }
				country_event = { id = buy_influence.210 }
			}
</v>
      </c>
      <c r="P22" t="str">
        <f t="shared" si="3"/>
        <v xml:space="preserve">			else_if = {
				limit = { NOT = { AND = { num_pops &lt; 930 has_modifier = buy_influence_drain_0420 } } }
				country_event = { id = buy_influence.215 }
			}
</v>
      </c>
      <c r="Q22" t="str">
        <f t="shared" si="4"/>
        <v xml:space="preserve">			else_if = {
				limit = { NOT = { AND = { num_pops &lt; 930 has_modifier = buy_influence_drain_0560 } } }
				country_event = { id = buy_influence.220 }
			}
</v>
      </c>
      <c r="U22" t="str">
        <f t="shared" si="9"/>
        <v xml:space="preserve">		else_if = {
			limit = { num_pops &lt; 930 }
			add_modifier = { modifier = "buy_influence_drain_0140" days = -1 }
		}
</v>
      </c>
      <c r="V22" t="str">
        <f t="shared" si="5"/>
        <v xml:space="preserve">		else_if = {
			limit = { num_pops &lt; 930 }
			add_modifier = { modifier = "buy_influence_drain_0280" days = -1 }
		}
</v>
      </c>
      <c r="W22" t="str">
        <f t="shared" si="6"/>
        <v xml:space="preserve">		else_if = {
			limit = { num_pops &lt; 930 }
			add_modifier = { modifier = "buy_influence_drain_0420" days = -1 }
		}
</v>
      </c>
      <c r="X22" t="str">
        <f t="shared" si="7"/>
        <v xml:space="preserve">		else_if = {
			limit = { num_pops &lt; 930 }
			add_modifier = { modifier = "buy_influence_drain_0560" days = -1 }
		}
</v>
      </c>
    </row>
    <row r="23" spans="1:24" x14ac:dyDescent="0.45">
      <c r="A23" s="5">
        <f>A22+120</f>
        <v>930</v>
      </c>
      <c r="B23">
        <f>A24-1</f>
        <v>1049</v>
      </c>
      <c r="C23" s="9">
        <f>C22+2</f>
        <v>16</v>
      </c>
      <c r="D23">
        <v>160</v>
      </c>
      <c r="E23">
        <v>320</v>
      </c>
      <c r="F23">
        <v>480</v>
      </c>
      <c r="G23">
        <v>640</v>
      </c>
      <c r="I23">
        <v>105</v>
      </c>
      <c r="J23">
        <f>INDEX(C:C,MATCH(I23,A:A,1))</f>
        <v>1.9999999999999998</v>
      </c>
      <c r="N23" t="str">
        <f t="shared" si="8"/>
        <v xml:space="preserve">			else_if = {
				limit = { NOT = { AND = { num_pops &lt; 1050 has_modifier = buy_influence_drain_0160 } } }
				country_event = { id = buy_influence.205 }
			}
</v>
      </c>
      <c r="O23" t="str">
        <f t="shared" si="2"/>
        <v xml:space="preserve">			else_if = {
				limit = { NOT = { AND = { num_pops &lt; 1050 has_modifier = buy_influence_drain_0320 } } }
				country_event = { id = buy_influence.210 }
			}
</v>
      </c>
      <c r="P23" t="str">
        <f t="shared" si="3"/>
        <v xml:space="preserve">			else_if = {
				limit = { NOT = { AND = { num_pops &lt; 1050 has_modifier = buy_influence_drain_0480 } } }
				country_event = { id = buy_influence.215 }
			}
</v>
      </c>
      <c r="Q23" t="str">
        <f t="shared" si="4"/>
        <v xml:space="preserve">			else_if = {
				limit = { NOT = { AND = { num_pops &lt; 1050 has_modifier = buy_influence_drain_0640 } } }
				country_event = { id = buy_influence.220 }
			}
</v>
      </c>
      <c r="U23" t="str">
        <f t="shared" si="9"/>
        <v xml:space="preserve">		else_if = {
			limit = { num_pops &lt; 1050 }
			add_modifier = { modifier = "buy_influence_drain_0160" days = -1 }
		}
</v>
      </c>
      <c r="V23" t="str">
        <f t="shared" si="5"/>
        <v xml:space="preserve">		else_if = {
			limit = { num_pops &lt; 1050 }
			add_modifier = { modifier = "buy_influence_drain_0320" days = -1 }
		}
</v>
      </c>
      <c r="W23" t="str">
        <f t="shared" si="6"/>
        <v xml:space="preserve">		else_if = {
			limit = { num_pops &lt; 1050 }
			add_modifier = { modifier = "buy_influence_drain_0480" days = -1 }
		}
</v>
      </c>
      <c r="X23" t="str">
        <f t="shared" si="7"/>
        <v xml:space="preserve">		else_if = {
			limit = { num_pops &lt; 1050 }
			add_modifier = { modifier = "buy_influence_drain_0640" days = -1 }
		}
</v>
      </c>
    </row>
    <row r="24" spans="1:24" x14ac:dyDescent="0.45">
      <c r="A24" s="5">
        <f>A23+120</f>
        <v>1050</v>
      </c>
      <c r="B24">
        <f>A25-1</f>
        <v>1169</v>
      </c>
      <c r="C24" s="9">
        <f>C23+2</f>
        <v>18</v>
      </c>
      <c r="D24">
        <v>180</v>
      </c>
      <c r="E24">
        <v>360</v>
      </c>
      <c r="F24">
        <v>540</v>
      </c>
      <c r="G24">
        <v>720</v>
      </c>
      <c r="I24">
        <v>110</v>
      </c>
      <c r="J24">
        <f>INDEX(C:C,MATCH(I24,A:A,1))</f>
        <v>1.9999999999999998</v>
      </c>
      <c r="N24" t="str">
        <f t="shared" si="8"/>
        <v xml:space="preserve">			else_if = {
				limit = { NOT = { AND = { num_pops &lt; 1170 has_modifier = buy_influence_drain_0180 } } }
				country_event = { id = buy_influence.205 }
			}
</v>
      </c>
      <c r="O24" t="str">
        <f t="shared" si="2"/>
        <v xml:space="preserve">			else_if = {
				limit = { NOT = { AND = { num_pops &lt; 1170 has_modifier = buy_influence_drain_0360 } } }
				country_event = { id = buy_influence.210 }
			}
</v>
      </c>
      <c r="P24" t="str">
        <f t="shared" si="3"/>
        <v xml:space="preserve">			else_if = {
				limit = { NOT = { AND = { num_pops &lt; 1170 has_modifier = buy_influence_drain_0540 } } }
				country_event = { id = buy_influence.215 }
			}
</v>
      </c>
      <c r="Q24" t="str">
        <f t="shared" si="4"/>
        <v xml:space="preserve">			else_if = {
				limit = { NOT = { AND = { num_pops &lt; 1170 has_modifier = buy_influence_drain_0720 } } }
				country_event = { id = buy_influence.220 }
			}
</v>
      </c>
      <c r="U24" t="str">
        <f t="shared" si="9"/>
        <v xml:space="preserve">		else_if = {
			limit = { num_pops &lt; 1170 }
			add_modifier = { modifier = "buy_influence_drain_0180" days = -1 }
		}
</v>
      </c>
      <c r="V24" t="str">
        <f t="shared" si="5"/>
        <v xml:space="preserve">		else_if = {
			limit = { num_pops &lt; 1170 }
			add_modifier = { modifier = "buy_influence_drain_0360" days = -1 }
		}
</v>
      </c>
      <c r="W24" t="str">
        <f t="shared" si="6"/>
        <v xml:space="preserve">		else_if = {
			limit = { num_pops &lt; 1170 }
			add_modifier = { modifier = "buy_influence_drain_0540" days = -1 }
		}
</v>
      </c>
      <c r="X24" t="str">
        <f t="shared" si="7"/>
        <v xml:space="preserve">		else_if = {
			limit = { num_pops &lt; 1170 }
			add_modifier = { modifier = "buy_influence_drain_0720" days = -1 }
		}
</v>
      </c>
    </row>
    <row r="25" spans="1:24" x14ac:dyDescent="0.45">
      <c r="A25" s="5">
        <f>A24+120</f>
        <v>1170</v>
      </c>
      <c r="B25">
        <f>A26-1</f>
        <v>1469</v>
      </c>
      <c r="C25" s="9">
        <f>C24+2</f>
        <v>20</v>
      </c>
      <c r="D25">
        <v>200</v>
      </c>
      <c r="E25">
        <v>400</v>
      </c>
      <c r="F25">
        <v>600</v>
      </c>
      <c r="G25">
        <v>800</v>
      </c>
      <c r="I25">
        <v>115</v>
      </c>
      <c r="J25">
        <f>INDEX(C:C,MATCH(I25,A:A,1))</f>
        <v>1.9999999999999998</v>
      </c>
      <c r="N25" t="str">
        <f t="shared" si="8"/>
        <v xml:space="preserve">			else_if = {
				limit = { NOT = { AND = { num_pops &lt; 1470 has_modifier = buy_influence_drain_0200 } } }
				country_event = { id = buy_influence.205 }
			}
</v>
      </c>
      <c r="O25" t="str">
        <f t="shared" si="2"/>
        <v xml:space="preserve">			else_if = {
				limit = { NOT = { AND = { num_pops &lt; 1470 has_modifier = buy_influence_drain_0400 } } }
				country_event = { id = buy_influence.210 }
			}
</v>
      </c>
      <c r="P25" t="str">
        <f t="shared" si="3"/>
        <v xml:space="preserve">			else_if = {
				limit = { NOT = { AND = { num_pops &lt; 1470 has_modifier = buy_influence_drain_0600 } } }
				country_event = { id = buy_influence.215 }
			}
</v>
      </c>
      <c r="Q25" t="str">
        <f t="shared" si="4"/>
        <v xml:space="preserve">			else_if = {
				limit = { NOT = { AND = { num_pops &lt; 1470 has_modifier = buy_influence_drain_0800 } } }
				country_event = { id = buy_influence.220 }
			}
</v>
      </c>
      <c r="U25" t="str">
        <f t="shared" si="9"/>
        <v xml:space="preserve">		else_if = {
			limit = { num_pops &lt; 1470 }
			add_modifier = { modifier = "buy_influence_drain_0200" days = -1 }
		}
</v>
      </c>
      <c r="V25" t="str">
        <f t="shared" si="5"/>
        <v xml:space="preserve">		else_if = {
			limit = { num_pops &lt; 1470 }
			add_modifier = { modifier = "buy_influence_drain_0400" days = -1 }
		}
</v>
      </c>
      <c r="W25" t="str">
        <f t="shared" si="6"/>
        <v xml:space="preserve">		else_if = {
			limit = { num_pops &lt; 1470 }
			add_modifier = { modifier = "buy_influence_drain_0600" days = -1 }
		}
</v>
      </c>
      <c r="X25" t="str">
        <f t="shared" si="7"/>
        <v xml:space="preserve">		else_if = {
			limit = { num_pops &lt; 1470 }
			add_modifier = { modifier = "buy_influence_drain_0800" days = -1 }
		}
</v>
      </c>
    </row>
    <row r="26" spans="1:24" x14ac:dyDescent="0.45">
      <c r="A26" s="10">
        <f>A25+300</f>
        <v>1470</v>
      </c>
      <c r="B26">
        <f>A27-1</f>
        <v>1769</v>
      </c>
      <c r="C26" s="12">
        <f>C25+5</f>
        <v>25</v>
      </c>
      <c r="D26">
        <v>250</v>
      </c>
      <c r="E26">
        <v>500</v>
      </c>
      <c r="F26">
        <v>750</v>
      </c>
      <c r="G26">
        <v>1000</v>
      </c>
      <c r="I26">
        <v>120</v>
      </c>
      <c r="J26">
        <f>INDEX(C:C,MATCH(I26,A:A,1))</f>
        <v>2.5</v>
      </c>
      <c r="N26" t="str">
        <f t="shared" si="8"/>
        <v xml:space="preserve">			else_if = {
				limit = { NOT = { AND = { num_pops &lt; 1770 has_modifier = buy_influence_drain_0250 } } }
				country_event = { id = buy_influence.205 }
			}
</v>
      </c>
      <c r="O26" t="str">
        <f t="shared" si="2"/>
        <v xml:space="preserve">			else_if = {
				limit = { NOT = { AND = { num_pops &lt; 1770 has_modifier = buy_influence_drain_0500 } } }
				country_event = { id = buy_influence.210 }
			}
</v>
      </c>
      <c r="P26" t="str">
        <f t="shared" si="3"/>
        <v xml:space="preserve">			else_if = {
				limit = { NOT = { AND = { num_pops &lt; 1770 has_modifier = buy_influence_drain_0750 } } }
				country_event = { id = buy_influence.215 }
			}
</v>
      </c>
      <c r="Q26" t="str">
        <f t="shared" si="4"/>
        <v xml:space="preserve">			else_if = {
				limit = { NOT = { AND = { num_pops &lt; 1770 has_modifier = buy_influence_drain_1000 } } }
				country_event = { id = buy_influence.220 }
			}
</v>
      </c>
      <c r="U26" t="str">
        <f t="shared" si="9"/>
        <v xml:space="preserve">		else_if = {
			limit = { num_pops &lt; 1770 }
			add_modifier = { modifier = "buy_influence_drain_0250" days = -1 }
		}
</v>
      </c>
      <c r="V26" t="str">
        <f t="shared" si="5"/>
        <v xml:space="preserve">		else_if = {
			limit = { num_pops &lt; 1770 }
			add_modifier = { modifier = "buy_influence_drain_0500" days = -1 }
		}
</v>
      </c>
      <c r="W26" t="str">
        <f t="shared" si="6"/>
        <v xml:space="preserve">		else_if = {
			limit = { num_pops &lt; 1770 }
			add_modifier = { modifier = "buy_influence_drain_0750" days = -1 }
		}
</v>
      </c>
      <c r="X26" t="str">
        <f t="shared" si="7"/>
        <v xml:space="preserve">		else_if = {
			limit = { num_pops &lt; 1770 }
			add_modifier = { modifier = "buy_influence_drain_1000" days = -1 }
		}
</v>
      </c>
    </row>
    <row r="27" spans="1:24" x14ac:dyDescent="0.45">
      <c r="A27" s="10">
        <f>A26+300</f>
        <v>1770</v>
      </c>
      <c r="B27">
        <f>A28-1</f>
        <v>2069</v>
      </c>
      <c r="C27" s="12">
        <f>C26+5</f>
        <v>30</v>
      </c>
      <c r="D27">
        <v>300</v>
      </c>
      <c r="E27">
        <v>600</v>
      </c>
      <c r="F27">
        <v>900</v>
      </c>
      <c r="G27">
        <v>1200</v>
      </c>
      <c r="I27">
        <v>125</v>
      </c>
      <c r="J27">
        <f>INDEX(C:C,MATCH(I27,A:A,1))</f>
        <v>2.5</v>
      </c>
      <c r="N27" t="str">
        <f t="shared" si="8"/>
        <v xml:space="preserve">			else_if = {
				limit = { NOT = { AND = { num_pops &lt; 2070 has_modifier = buy_influence_drain_0300 } } }
				country_event = { id = buy_influence.205 }
			}
</v>
      </c>
      <c r="O27" t="str">
        <f t="shared" si="2"/>
        <v xml:space="preserve">			else_if = {
				limit = { NOT = { AND = { num_pops &lt; 2070 has_modifier = buy_influence_drain_0600 } } }
				country_event = { id = buy_influence.210 }
			}
</v>
      </c>
      <c r="P27" t="str">
        <f t="shared" si="3"/>
        <v xml:space="preserve">			else_if = {
				limit = { NOT = { AND = { num_pops &lt; 2070 has_modifier = buy_influence_drain_0900 } } }
				country_event = { id = buy_influence.215 }
			}
</v>
      </c>
      <c r="Q27" t="str">
        <f t="shared" si="4"/>
        <v xml:space="preserve">			else_if = {
				limit = { NOT = { AND = { num_pops &lt; 2070 has_modifier = buy_influence_drain_1200 } } }
				country_event = { id = buy_influence.220 }
			}
</v>
      </c>
      <c r="U27" t="str">
        <f t="shared" si="9"/>
        <v xml:space="preserve">		else_if = {
			limit = { num_pops &lt; 2070 }
			add_modifier = { modifier = "buy_influence_drain_0300" days = -1 }
		}
</v>
      </c>
      <c r="V27" t="str">
        <f t="shared" si="5"/>
        <v xml:space="preserve">		else_if = {
			limit = { num_pops &lt; 2070 }
			add_modifier = { modifier = "buy_influence_drain_0600" days = -1 }
		}
</v>
      </c>
      <c r="W27" t="str">
        <f t="shared" si="6"/>
        <v xml:space="preserve">		else_if = {
			limit = { num_pops &lt; 2070 }
			add_modifier = { modifier = "buy_influence_drain_0900" days = -1 }
		}
</v>
      </c>
      <c r="X27" t="str">
        <f t="shared" si="7"/>
        <v xml:space="preserve">		else_if = {
			limit = { num_pops &lt; 2070 }
			add_modifier = { modifier = "buy_influence_drain_1200" days = -1 }
		}
</v>
      </c>
    </row>
    <row r="28" spans="1:24" x14ac:dyDescent="0.45">
      <c r="A28" s="10">
        <f>A27+300</f>
        <v>2070</v>
      </c>
      <c r="B28">
        <f>A29-1</f>
        <v>2369</v>
      </c>
      <c r="C28" s="12">
        <f>C27+5</f>
        <v>35</v>
      </c>
      <c r="D28">
        <v>350</v>
      </c>
      <c r="E28">
        <v>700</v>
      </c>
      <c r="F28">
        <v>1050</v>
      </c>
      <c r="G28">
        <v>1400</v>
      </c>
      <c r="I28">
        <v>130</v>
      </c>
      <c r="J28">
        <f>INDEX(C:C,MATCH(I28,A:A,1))</f>
        <v>2.5</v>
      </c>
      <c r="N28" t="str">
        <f t="shared" si="8"/>
        <v xml:space="preserve">			else_if = {
				limit = { NOT = { AND = { num_pops &lt; 2370 has_modifier = buy_influence_drain_0350 } } }
				country_event = { id = buy_influence.205 }
			}
</v>
      </c>
      <c r="O28" t="str">
        <f t="shared" si="2"/>
        <v xml:space="preserve">			else_if = {
				limit = { NOT = { AND = { num_pops &lt; 2370 has_modifier = buy_influence_drain_0700 } } }
				country_event = { id = buy_influence.210 }
			}
</v>
      </c>
      <c r="P28" t="str">
        <f t="shared" si="3"/>
        <v xml:space="preserve">			else_if = {
				limit = { NOT = { AND = { num_pops &lt; 2370 has_modifier = buy_influence_drain_1050 } } }
				country_event = { id = buy_influence.215 }
			}
</v>
      </c>
      <c r="Q28" t="str">
        <f t="shared" si="4"/>
        <v xml:space="preserve">			else_if = {
				limit = { NOT = { AND = { num_pops &lt; 2370 has_modifier = buy_influence_drain_1400 } } }
				country_event = { id = buy_influence.220 }
			}
</v>
      </c>
      <c r="U28" t="str">
        <f t="shared" si="9"/>
        <v xml:space="preserve">		else_if = {
			limit = { num_pops &lt; 2370 }
			add_modifier = { modifier = "buy_influence_drain_0350" days = -1 }
		}
</v>
      </c>
      <c r="V28" t="str">
        <f t="shared" si="5"/>
        <v xml:space="preserve">		else_if = {
			limit = { num_pops &lt; 2370 }
			add_modifier = { modifier = "buy_influence_drain_0700" days = -1 }
		}
</v>
      </c>
      <c r="W28" t="str">
        <f t="shared" si="6"/>
        <v xml:space="preserve">		else_if = {
			limit = { num_pops &lt; 2370 }
			add_modifier = { modifier = "buy_influence_drain_1050" days = -1 }
		}
</v>
      </c>
      <c r="X28" t="str">
        <f t="shared" si="7"/>
        <v xml:space="preserve">		else_if = {
			limit = { num_pops &lt; 2370 }
			add_modifier = { modifier = "buy_influence_drain_1400" days = -1 }
		}
</v>
      </c>
    </row>
    <row r="29" spans="1:24" x14ac:dyDescent="0.45">
      <c r="A29" s="10">
        <f>A28+300</f>
        <v>2370</v>
      </c>
      <c r="B29">
        <f>A30-1</f>
        <v>2669</v>
      </c>
      <c r="C29" s="12">
        <f>C28+5</f>
        <v>40</v>
      </c>
      <c r="D29">
        <v>400</v>
      </c>
      <c r="E29">
        <v>800</v>
      </c>
      <c r="F29">
        <v>1200</v>
      </c>
      <c r="G29">
        <v>1600</v>
      </c>
      <c r="I29">
        <v>135</v>
      </c>
      <c r="J29">
        <f>INDEX(C:C,MATCH(I29,A:A,1))</f>
        <v>2.5</v>
      </c>
      <c r="N29" t="str">
        <f t="shared" si="8"/>
        <v xml:space="preserve">			else_if = {
				limit = { NOT = { AND = { num_pops &lt; 2670 has_modifier = buy_influence_drain_0400 } } }
				country_event = { id = buy_influence.205 }
			}
</v>
      </c>
      <c r="O29" t="str">
        <f t="shared" si="2"/>
        <v xml:space="preserve">			else_if = {
				limit = { NOT = { AND = { num_pops &lt; 2670 has_modifier = buy_influence_drain_0800 } } }
				country_event = { id = buy_influence.210 }
			}
</v>
      </c>
      <c r="P29" t="str">
        <f t="shared" si="3"/>
        <v xml:space="preserve">			else_if = {
				limit = { NOT = { AND = { num_pops &lt; 2670 has_modifier = buy_influence_drain_1200 } } }
				country_event = { id = buy_influence.215 }
			}
</v>
      </c>
      <c r="Q29" t="str">
        <f t="shared" si="4"/>
        <v xml:space="preserve">			else_if = {
				limit = { NOT = { AND = { num_pops &lt; 2670 has_modifier = buy_influence_drain_1600 } } }
				country_event = { id = buy_influence.220 }
			}
</v>
      </c>
      <c r="U29" t="str">
        <f t="shared" si="9"/>
        <v xml:space="preserve">		else_if = {
			limit = { num_pops &lt; 2670 }
			add_modifier = { modifier = "buy_influence_drain_0400" days = -1 }
		}
</v>
      </c>
      <c r="V29" t="str">
        <f t="shared" si="5"/>
        <v xml:space="preserve">		else_if = {
			limit = { num_pops &lt; 2670 }
			add_modifier = { modifier = "buy_influence_drain_0800" days = -1 }
		}
</v>
      </c>
      <c r="W29" t="str">
        <f t="shared" si="6"/>
        <v xml:space="preserve">		else_if = {
			limit = { num_pops &lt; 2670 }
			add_modifier = { modifier = "buy_influence_drain_1200" days = -1 }
		}
</v>
      </c>
      <c r="X29" t="str">
        <f t="shared" si="7"/>
        <v xml:space="preserve">		else_if = {
			limit = { num_pops &lt; 2670 }
			add_modifier = { modifier = "buy_influence_drain_1600" days = -1 }
		}
</v>
      </c>
    </row>
    <row r="30" spans="1:24" x14ac:dyDescent="0.45">
      <c r="A30" s="10">
        <f>A29+300</f>
        <v>2670</v>
      </c>
      <c r="B30">
        <f>A31-1</f>
        <v>2969</v>
      </c>
      <c r="C30" s="12">
        <f>C29+5</f>
        <v>45</v>
      </c>
      <c r="D30">
        <v>450</v>
      </c>
      <c r="E30">
        <v>900</v>
      </c>
      <c r="F30">
        <v>1350</v>
      </c>
      <c r="G30">
        <v>1800</v>
      </c>
      <c r="I30">
        <v>140</v>
      </c>
      <c r="J30">
        <f>INDEX(C:C,MATCH(I30,A:A,1))</f>
        <v>2.5</v>
      </c>
      <c r="N30" t="str">
        <f t="shared" si="8"/>
        <v xml:space="preserve">			else_if = {
				limit = { NOT = { AND = { num_pops &lt; 2970 has_modifier = buy_influence_drain_0450 } } }
				country_event = { id = buy_influence.205 }
			}
</v>
      </c>
      <c r="O30" t="str">
        <f t="shared" si="2"/>
        <v xml:space="preserve">			else_if = {
				limit = { NOT = { AND = { num_pops &lt; 2970 has_modifier = buy_influence_drain_0900 } } }
				country_event = { id = buy_influence.210 }
			}
</v>
      </c>
      <c r="P30" t="str">
        <f t="shared" si="3"/>
        <v xml:space="preserve">			else_if = {
				limit = { NOT = { AND = { num_pops &lt; 2970 has_modifier = buy_influence_drain_1350 } } }
				country_event = { id = buy_influence.215 }
			}
</v>
      </c>
      <c r="Q30" t="str">
        <f t="shared" si="4"/>
        <v xml:space="preserve">			else_if = {
				limit = { NOT = { AND = { num_pops &lt; 2970 has_modifier = buy_influence_drain_1800 } } }
				country_event = { id = buy_influence.220 }
			}
</v>
      </c>
      <c r="U30" t="str">
        <f t="shared" si="9"/>
        <v xml:space="preserve">		else_if = {
			limit = { num_pops &lt; 2970 }
			add_modifier = { modifier = "buy_influence_drain_0450" days = -1 }
		}
</v>
      </c>
      <c r="V30" t="str">
        <f t="shared" si="5"/>
        <v xml:space="preserve">		else_if = {
			limit = { num_pops &lt; 2970 }
			add_modifier = { modifier = "buy_influence_drain_0900" days = -1 }
		}
</v>
      </c>
      <c r="W30" t="str">
        <f t="shared" si="6"/>
        <v xml:space="preserve">		else_if = {
			limit = { num_pops &lt; 2970 }
			add_modifier = { modifier = "buy_influence_drain_1350" days = -1 }
		}
</v>
      </c>
      <c r="X30" t="str">
        <f t="shared" si="7"/>
        <v xml:space="preserve">		else_if = {
			limit = { num_pops &lt; 2970 }
			add_modifier = { modifier = "buy_influence_drain_1800" days = -1 }
		}
</v>
      </c>
    </row>
    <row r="31" spans="1:24" x14ac:dyDescent="0.45">
      <c r="A31" s="10">
        <f>A30+300</f>
        <v>2970</v>
      </c>
      <c r="B31">
        <v>100000</v>
      </c>
      <c r="C31" s="12">
        <f>C30+5</f>
        <v>50</v>
      </c>
      <c r="D31">
        <v>500</v>
      </c>
      <c r="E31">
        <v>1000</v>
      </c>
      <c r="F31">
        <v>1500</v>
      </c>
      <c r="G31">
        <v>2000</v>
      </c>
      <c r="I31">
        <v>145</v>
      </c>
      <c r="J31">
        <f>INDEX(C:C,MATCH(I31,A:A,1))</f>
        <v>2.5</v>
      </c>
      <c r="N31" t="str">
        <f t="shared" si="8"/>
        <v xml:space="preserve">			else_if = {
				limit = { NOT = { has_modifier = buy_influence_drain_0500 } }
				country_event = { id = buy_influence.205 }
			}
</v>
      </c>
      <c r="O31" t="str">
        <f t="shared" si="2"/>
        <v xml:space="preserve">			else_if = {
				limit = { NOT = { has_modifier = buy_influence_drain_1000 } }
				country_event = { id = buy_influence.210 }
			}
</v>
      </c>
      <c r="P31" t="str">
        <f t="shared" si="3"/>
        <v xml:space="preserve">			else_if = {
				limit = { NOT = { has_modifier = buy_influence_drain_1500 } }
				country_event = { id = buy_influence.215 }
			}
</v>
      </c>
      <c r="Q31" t="str">
        <f t="shared" si="4"/>
        <v xml:space="preserve">			else_if = {
				limit = { NOT = { has_modifier = buy_influence_drain_2000 } }
				country_event = { id = buy_influence.220 }
			}
</v>
      </c>
      <c r="U31" t="str">
        <f t="shared" si="9"/>
        <v xml:space="preserve">		else = {
			add_modifier = { modifier = "buy_influence_drain_0500" days = -1 }
		}
</v>
      </c>
      <c r="V31" t="str">
        <f t="shared" si="5"/>
        <v xml:space="preserve">		else = {
			add_modifier = { modifier = "buy_influence_drain_1000" days = -1 }
		}
</v>
      </c>
      <c r="W31" t="str">
        <f t="shared" si="6"/>
        <v xml:space="preserve">		else = {
			add_modifier = { modifier = "buy_influence_drain_1500" days = -1 }
		}
</v>
      </c>
      <c r="X31" t="str">
        <f t="shared" si="7"/>
        <v xml:space="preserve">		else = {
			add_modifier = { modifier = "buy_influence_drain_2000" days = -1 }
		}
</v>
      </c>
    </row>
    <row r="32" spans="1:24" x14ac:dyDescent="0.45">
      <c r="I32">
        <v>150</v>
      </c>
      <c r="J32">
        <f>INDEX(C:C,MATCH(I32,A:A,1))</f>
        <v>3</v>
      </c>
    </row>
    <row r="33" spans="9:10" x14ac:dyDescent="0.45">
      <c r="I33">
        <v>155</v>
      </c>
      <c r="J33">
        <f>INDEX(C:C,MATCH(I33,A:A,1))</f>
        <v>3</v>
      </c>
    </row>
    <row r="34" spans="9:10" x14ac:dyDescent="0.45">
      <c r="I34">
        <v>160</v>
      </c>
      <c r="J34">
        <f>INDEX(C:C,MATCH(I34,A:A,1))</f>
        <v>3</v>
      </c>
    </row>
    <row r="35" spans="9:10" x14ac:dyDescent="0.45">
      <c r="I35">
        <v>165</v>
      </c>
      <c r="J35">
        <f>INDEX(C:C,MATCH(I35,A:A,1))</f>
        <v>3</v>
      </c>
    </row>
    <row r="36" spans="9:10" x14ac:dyDescent="0.45">
      <c r="I36">
        <v>170</v>
      </c>
      <c r="J36">
        <f>INDEX(C:C,MATCH(I36,A:A,1))</f>
        <v>3</v>
      </c>
    </row>
    <row r="37" spans="9:10" x14ac:dyDescent="0.45">
      <c r="I37">
        <v>175</v>
      </c>
      <c r="J37">
        <f>INDEX(C:C,MATCH(I37,A:A,1))</f>
        <v>3</v>
      </c>
    </row>
    <row r="38" spans="9:10" x14ac:dyDescent="0.45">
      <c r="I38">
        <v>180</v>
      </c>
      <c r="J38">
        <f>INDEX(C:C,MATCH(I38,A:A,1))</f>
        <v>3.5</v>
      </c>
    </row>
    <row r="39" spans="9:10" x14ac:dyDescent="0.45">
      <c r="I39">
        <v>185</v>
      </c>
      <c r="J39">
        <f>INDEX(C:C,MATCH(I39,A:A,1))</f>
        <v>3.5</v>
      </c>
    </row>
    <row r="40" spans="9:10" x14ac:dyDescent="0.45">
      <c r="I40">
        <v>190</v>
      </c>
      <c r="J40">
        <f>INDEX(C:C,MATCH(I40,A:A,1))</f>
        <v>3.5</v>
      </c>
    </row>
    <row r="41" spans="9:10" x14ac:dyDescent="0.45">
      <c r="I41">
        <v>195</v>
      </c>
      <c r="J41">
        <f>INDEX(C:C,MATCH(I41,A:A,1))</f>
        <v>3.5</v>
      </c>
    </row>
    <row r="42" spans="9:10" x14ac:dyDescent="0.45">
      <c r="I42">
        <v>200</v>
      </c>
      <c r="J42">
        <f>INDEX(C:C,MATCH(I42,A:A,1))</f>
        <v>3.5</v>
      </c>
    </row>
    <row r="43" spans="9:10" x14ac:dyDescent="0.45">
      <c r="I43">
        <v>205</v>
      </c>
      <c r="J43">
        <f>INDEX(C:C,MATCH(I43,A:A,1))</f>
        <v>3.5</v>
      </c>
    </row>
    <row r="44" spans="9:10" x14ac:dyDescent="0.45">
      <c r="I44">
        <v>210</v>
      </c>
      <c r="J44">
        <f>INDEX(C:C,MATCH(I44,A:A,1))</f>
        <v>4</v>
      </c>
    </row>
    <row r="45" spans="9:10" x14ac:dyDescent="0.45">
      <c r="I45">
        <v>215</v>
      </c>
      <c r="J45">
        <f>INDEX(C:C,MATCH(I45,A:A,1))</f>
        <v>4</v>
      </c>
    </row>
    <row r="46" spans="9:10" x14ac:dyDescent="0.45">
      <c r="I46">
        <v>220</v>
      </c>
      <c r="J46">
        <f>INDEX(C:C,MATCH(I46,A:A,1))</f>
        <v>4</v>
      </c>
    </row>
    <row r="47" spans="9:10" x14ac:dyDescent="0.45">
      <c r="I47">
        <v>225</v>
      </c>
      <c r="J47">
        <f>INDEX(C:C,MATCH(I47,A:A,1))</f>
        <v>4</v>
      </c>
    </row>
    <row r="48" spans="9:10" x14ac:dyDescent="0.45">
      <c r="I48">
        <v>230</v>
      </c>
      <c r="J48">
        <f>INDEX(C:C,MATCH(I48,A:A,1))</f>
        <v>4</v>
      </c>
    </row>
    <row r="49" spans="9:10" x14ac:dyDescent="0.45">
      <c r="I49">
        <v>235</v>
      </c>
      <c r="J49">
        <f>INDEX(C:C,MATCH(I49,A:A,1))</f>
        <v>4</v>
      </c>
    </row>
    <row r="50" spans="9:10" x14ac:dyDescent="0.45">
      <c r="I50">
        <v>240</v>
      </c>
      <c r="J50">
        <f>INDEX(C:C,MATCH(I50,A:A,1))</f>
        <v>4.5</v>
      </c>
    </row>
    <row r="51" spans="9:10" x14ac:dyDescent="0.45">
      <c r="I51">
        <v>245</v>
      </c>
      <c r="J51">
        <f>INDEX(C:C,MATCH(I51,A:A,1))</f>
        <v>4.5</v>
      </c>
    </row>
    <row r="52" spans="9:10" x14ac:dyDescent="0.45">
      <c r="I52">
        <v>250</v>
      </c>
      <c r="J52">
        <f>INDEX(C:C,MATCH(I52,A:A,1))</f>
        <v>4.5</v>
      </c>
    </row>
    <row r="53" spans="9:10" x14ac:dyDescent="0.45">
      <c r="I53">
        <v>255</v>
      </c>
      <c r="J53">
        <f>INDEX(C:C,MATCH(I53,A:A,1))</f>
        <v>4.5</v>
      </c>
    </row>
    <row r="54" spans="9:10" x14ac:dyDescent="0.45">
      <c r="I54">
        <v>260</v>
      </c>
      <c r="J54">
        <f>INDEX(C:C,MATCH(I54,A:A,1))</f>
        <v>4.5</v>
      </c>
    </row>
    <row r="55" spans="9:10" x14ac:dyDescent="0.45">
      <c r="I55">
        <v>265</v>
      </c>
      <c r="J55">
        <f>INDEX(C:C,MATCH(I55,A:A,1))</f>
        <v>4.5</v>
      </c>
    </row>
    <row r="56" spans="9:10" x14ac:dyDescent="0.45">
      <c r="I56">
        <v>270</v>
      </c>
      <c r="J56">
        <f>INDEX(C:C,MATCH(I56,A:A,1))</f>
        <v>5</v>
      </c>
    </row>
    <row r="57" spans="9:10" x14ac:dyDescent="0.45">
      <c r="I57">
        <v>275</v>
      </c>
      <c r="J57">
        <f>INDEX(C:C,MATCH(I57,A:A,1))</f>
        <v>5</v>
      </c>
    </row>
    <row r="58" spans="9:10" x14ac:dyDescent="0.45">
      <c r="I58">
        <v>280</v>
      </c>
      <c r="J58">
        <f>INDEX(C:C,MATCH(I58,A:A,1))</f>
        <v>5</v>
      </c>
    </row>
    <row r="59" spans="9:10" x14ac:dyDescent="0.45">
      <c r="I59">
        <v>285</v>
      </c>
      <c r="J59">
        <f>INDEX(C:C,MATCH(I59,A:A,1))</f>
        <v>5</v>
      </c>
    </row>
    <row r="60" spans="9:10" x14ac:dyDescent="0.45">
      <c r="I60">
        <v>290</v>
      </c>
      <c r="J60">
        <f>INDEX(C:C,MATCH(I60,A:A,1))</f>
        <v>5</v>
      </c>
    </row>
    <row r="61" spans="9:10" x14ac:dyDescent="0.45">
      <c r="I61">
        <v>295</v>
      </c>
      <c r="J61">
        <f>INDEX(C:C,MATCH(I61,A:A,1))</f>
        <v>5</v>
      </c>
    </row>
    <row r="62" spans="9:10" x14ac:dyDescent="0.45">
      <c r="I62">
        <v>300</v>
      </c>
      <c r="J62">
        <f>INDEX(C:C,MATCH(I62,A:A,1))</f>
        <v>5</v>
      </c>
    </row>
    <row r="63" spans="9:10" x14ac:dyDescent="0.45">
      <c r="I63">
        <v>305</v>
      </c>
      <c r="J63">
        <f>INDEX(C:C,MATCH(I63,A:A,1))</f>
        <v>5</v>
      </c>
    </row>
    <row r="64" spans="9:10" x14ac:dyDescent="0.45">
      <c r="I64">
        <v>310</v>
      </c>
      <c r="J64">
        <f>INDEX(C:C,MATCH(I64,A:A,1))</f>
        <v>5</v>
      </c>
    </row>
    <row r="65" spans="9:10" x14ac:dyDescent="0.45">
      <c r="I65">
        <v>315</v>
      </c>
      <c r="J65">
        <f>INDEX(C:C,MATCH(I65,A:A,1))</f>
        <v>5</v>
      </c>
    </row>
    <row r="66" spans="9:10" x14ac:dyDescent="0.45">
      <c r="I66">
        <v>320</v>
      </c>
      <c r="J66">
        <f>INDEX(C:C,MATCH(I66,A:A,1))</f>
        <v>5</v>
      </c>
    </row>
    <row r="67" spans="9:10" x14ac:dyDescent="0.45">
      <c r="I67">
        <v>325</v>
      </c>
      <c r="J67">
        <f>INDEX(C:C,MATCH(I67,A:A,1))</f>
        <v>5</v>
      </c>
    </row>
    <row r="68" spans="9:10" x14ac:dyDescent="0.45">
      <c r="I68">
        <v>330</v>
      </c>
      <c r="J68">
        <f>INDEX(C:C,MATCH(I68,A:A,1))</f>
        <v>6</v>
      </c>
    </row>
    <row r="69" spans="9:10" x14ac:dyDescent="0.45">
      <c r="I69">
        <v>335</v>
      </c>
      <c r="J69">
        <f>INDEX(C:C,MATCH(I69,A:A,1))</f>
        <v>6</v>
      </c>
    </row>
    <row r="70" spans="9:10" x14ac:dyDescent="0.45">
      <c r="I70">
        <v>340</v>
      </c>
      <c r="J70">
        <f>INDEX(C:C,MATCH(I70,A:A,1))</f>
        <v>6</v>
      </c>
    </row>
    <row r="71" spans="9:10" x14ac:dyDescent="0.45">
      <c r="I71">
        <v>345</v>
      </c>
      <c r="J71">
        <f>INDEX(C:C,MATCH(I71,A:A,1))</f>
        <v>6</v>
      </c>
    </row>
    <row r="72" spans="9:10" x14ac:dyDescent="0.45">
      <c r="I72">
        <v>350</v>
      </c>
      <c r="J72">
        <f>INDEX(C:C,MATCH(I72,A:A,1))</f>
        <v>6</v>
      </c>
    </row>
    <row r="73" spans="9:10" x14ac:dyDescent="0.45">
      <c r="I73">
        <v>355</v>
      </c>
      <c r="J73">
        <f>INDEX(C:C,MATCH(I73,A:A,1))</f>
        <v>6</v>
      </c>
    </row>
    <row r="74" spans="9:10" x14ac:dyDescent="0.45">
      <c r="I74">
        <v>360</v>
      </c>
      <c r="J74">
        <f>INDEX(C:C,MATCH(I74,A:A,1))</f>
        <v>6</v>
      </c>
    </row>
    <row r="75" spans="9:10" x14ac:dyDescent="0.45">
      <c r="I75">
        <v>365</v>
      </c>
      <c r="J75">
        <f>INDEX(C:C,MATCH(I75,A:A,1))</f>
        <v>6</v>
      </c>
    </row>
    <row r="76" spans="9:10" x14ac:dyDescent="0.45">
      <c r="I76">
        <v>370</v>
      </c>
      <c r="J76">
        <f>INDEX(C:C,MATCH(I76,A:A,1))</f>
        <v>6</v>
      </c>
    </row>
    <row r="77" spans="9:10" x14ac:dyDescent="0.45">
      <c r="I77">
        <v>375</v>
      </c>
      <c r="J77">
        <f>INDEX(C:C,MATCH(I77,A:A,1))</f>
        <v>6</v>
      </c>
    </row>
    <row r="78" spans="9:10" x14ac:dyDescent="0.45">
      <c r="I78">
        <v>380</v>
      </c>
      <c r="J78">
        <f>INDEX(C:C,MATCH(I78,A:A,1))</f>
        <v>6</v>
      </c>
    </row>
    <row r="79" spans="9:10" x14ac:dyDescent="0.45">
      <c r="I79">
        <v>385</v>
      </c>
      <c r="J79">
        <f>INDEX(C:C,MATCH(I79,A:A,1))</f>
        <v>6</v>
      </c>
    </row>
    <row r="80" spans="9:10" x14ac:dyDescent="0.45">
      <c r="I80">
        <v>390</v>
      </c>
      <c r="J80">
        <f>INDEX(C:C,MATCH(I80,A:A,1))</f>
        <v>7</v>
      </c>
    </row>
    <row r="81" spans="9:10" x14ac:dyDescent="0.45">
      <c r="I81">
        <v>395</v>
      </c>
      <c r="J81">
        <f>INDEX(C:C,MATCH(I81,A:A,1))</f>
        <v>7</v>
      </c>
    </row>
    <row r="82" spans="9:10" x14ac:dyDescent="0.45">
      <c r="I82">
        <v>400</v>
      </c>
      <c r="J82">
        <f>INDEX(C:C,MATCH(I82,A:A,1))</f>
        <v>7</v>
      </c>
    </row>
    <row r="83" spans="9:10" x14ac:dyDescent="0.45">
      <c r="I83">
        <v>405</v>
      </c>
      <c r="J83">
        <f>INDEX(C:C,MATCH(I83,A:A,1))</f>
        <v>7</v>
      </c>
    </row>
    <row r="84" spans="9:10" x14ac:dyDescent="0.45">
      <c r="I84">
        <v>410</v>
      </c>
      <c r="J84">
        <f>INDEX(C:C,MATCH(I84,A:A,1))</f>
        <v>7</v>
      </c>
    </row>
    <row r="85" spans="9:10" x14ac:dyDescent="0.45">
      <c r="I85">
        <v>415</v>
      </c>
      <c r="J85">
        <f>INDEX(C:C,MATCH(I85,A:A,1))</f>
        <v>7</v>
      </c>
    </row>
    <row r="86" spans="9:10" x14ac:dyDescent="0.45">
      <c r="I86">
        <v>420</v>
      </c>
      <c r="J86">
        <f>INDEX(C:C,MATCH(I86,A:A,1))</f>
        <v>7</v>
      </c>
    </row>
    <row r="87" spans="9:10" x14ac:dyDescent="0.45">
      <c r="I87">
        <v>425</v>
      </c>
      <c r="J87">
        <f>INDEX(C:C,MATCH(I87,A:A,1))</f>
        <v>7</v>
      </c>
    </row>
    <row r="88" spans="9:10" x14ac:dyDescent="0.45">
      <c r="I88">
        <v>430</v>
      </c>
      <c r="J88">
        <f>INDEX(C:C,MATCH(I88,A:A,1))</f>
        <v>7</v>
      </c>
    </row>
    <row r="89" spans="9:10" x14ac:dyDescent="0.45">
      <c r="I89">
        <v>435</v>
      </c>
      <c r="J89">
        <f>INDEX(C:C,MATCH(I89,A:A,1))</f>
        <v>7</v>
      </c>
    </row>
    <row r="90" spans="9:10" x14ac:dyDescent="0.45">
      <c r="I90">
        <v>440</v>
      </c>
      <c r="J90">
        <f>INDEX(C:C,MATCH(I90,A:A,1))</f>
        <v>7</v>
      </c>
    </row>
    <row r="91" spans="9:10" x14ac:dyDescent="0.45">
      <c r="I91">
        <v>445</v>
      </c>
      <c r="J91">
        <f>INDEX(C:C,MATCH(I91,A:A,1))</f>
        <v>7</v>
      </c>
    </row>
    <row r="92" spans="9:10" x14ac:dyDescent="0.45">
      <c r="I92">
        <v>450</v>
      </c>
      <c r="J92">
        <f>INDEX(C:C,MATCH(I92,A:A,1))</f>
        <v>8</v>
      </c>
    </row>
    <row r="93" spans="9:10" x14ac:dyDescent="0.45">
      <c r="I93">
        <v>455</v>
      </c>
      <c r="J93">
        <f>INDEX(C:C,MATCH(I93,A:A,1))</f>
        <v>8</v>
      </c>
    </row>
    <row r="94" spans="9:10" x14ac:dyDescent="0.45">
      <c r="I94">
        <v>460</v>
      </c>
      <c r="J94">
        <f>INDEX(C:C,MATCH(I94,A:A,1))</f>
        <v>8</v>
      </c>
    </row>
    <row r="95" spans="9:10" x14ac:dyDescent="0.45">
      <c r="I95">
        <v>465</v>
      </c>
      <c r="J95">
        <f>INDEX(C:C,MATCH(I95,A:A,1))</f>
        <v>8</v>
      </c>
    </row>
    <row r="96" spans="9:10" x14ac:dyDescent="0.45">
      <c r="I96">
        <v>470</v>
      </c>
      <c r="J96">
        <f>INDEX(C:C,MATCH(I96,A:A,1))</f>
        <v>8</v>
      </c>
    </row>
    <row r="97" spans="9:10" x14ac:dyDescent="0.45">
      <c r="I97">
        <v>475</v>
      </c>
      <c r="J97">
        <f>INDEX(C:C,MATCH(I97,A:A,1))</f>
        <v>8</v>
      </c>
    </row>
    <row r="98" spans="9:10" x14ac:dyDescent="0.45">
      <c r="I98">
        <v>480</v>
      </c>
      <c r="J98">
        <f>INDEX(C:C,MATCH(I98,A:A,1))</f>
        <v>8</v>
      </c>
    </row>
    <row r="99" spans="9:10" x14ac:dyDescent="0.45">
      <c r="I99">
        <v>485</v>
      </c>
      <c r="J99">
        <f>INDEX(C:C,MATCH(I99,A:A,1))</f>
        <v>8</v>
      </c>
    </row>
    <row r="100" spans="9:10" x14ac:dyDescent="0.45">
      <c r="I100">
        <v>490</v>
      </c>
      <c r="J100">
        <f>INDEX(C:C,MATCH(I100,A:A,1))</f>
        <v>8</v>
      </c>
    </row>
    <row r="101" spans="9:10" x14ac:dyDescent="0.45">
      <c r="I101">
        <v>495</v>
      </c>
      <c r="J101">
        <f>INDEX(C:C,MATCH(I101,A:A,1))</f>
        <v>8</v>
      </c>
    </row>
    <row r="102" spans="9:10" x14ac:dyDescent="0.45">
      <c r="I102">
        <v>500</v>
      </c>
      <c r="J102">
        <f>INDEX(C:C,MATCH(I102,A:A,1))</f>
        <v>8</v>
      </c>
    </row>
    <row r="103" spans="9:10" x14ac:dyDescent="0.45">
      <c r="I103">
        <v>505</v>
      </c>
      <c r="J103">
        <f>INDEX(C:C,MATCH(I103,A:A,1))</f>
        <v>8</v>
      </c>
    </row>
    <row r="104" spans="9:10" x14ac:dyDescent="0.45">
      <c r="I104">
        <v>510</v>
      </c>
      <c r="J104">
        <f>INDEX(C:C,MATCH(I104,A:A,1))</f>
        <v>9</v>
      </c>
    </row>
    <row r="105" spans="9:10" x14ac:dyDescent="0.45">
      <c r="I105">
        <v>515</v>
      </c>
      <c r="J105">
        <f>INDEX(C:C,MATCH(I105,A:A,1))</f>
        <v>9</v>
      </c>
    </row>
    <row r="106" spans="9:10" x14ac:dyDescent="0.45">
      <c r="I106">
        <v>520</v>
      </c>
      <c r="J106">
        <f>INDEX(C:C,MATCH(I106,A:A,1))</f>
        <v>9</v>
      </c>
    </row>
    <row r="107" spans="9:10" x14ac:dyDescent="0.45">
      <c r="I107">
        <v>525</v>
      </c>
      <c r="J107">
        <f>INDEX(C:C,MATCH(I107,A:A,1))</f>
        <v>9</v>
      </c>
    </row>
    <row r="108" spans="9:10" x14ac:dyDescent="0.45">
      <c r="I108">
        <v>530</v>
      </c>
      <c r="J108">
        <f>INDEX(C:C,MATCH(I108,A:A,1))</f>
        <v>9</v>
      </c>
    </row>
    <row r="109" spans="9:10" x14ac:dyDescent="0.45">
      <c r="I109">
        <v>535</v>
      </c>
      <c r="J109">
        <f>INDEX(C:C,MATCH(I109,A:A,1))</f>
        <v>9</v>
      </c>
    </row>
    <row r="110" spans="9:10" x14ac:dyDescent="0.45">
      <c r="I110">
        <v>540</v>
      </c>
      <c r="J110">
        <f>INDEX(C:C,MATCH(I110,A:A,1))</f>
        <v>9</v>
      </c>
    </row>
    <row r="111" spans="9:10" x14ac:dyDescent="0.45">
      <c r="I111">
        <v>545</v>
      </c>
      <c r="J111">
        <f>INDEX(C:C,MATCH(I111,A:A,1))</f>
        <v>9</v>
      </c>
    </row>
    <row r="112" spans="9:10" x14ac:dyDescent="0.45">
      <c r="I112">
        <v>550</v>
      </c>
      <c r="J112">
        <f>INDEX(C:C,MATCH(I112,A:A,1))</f>
        <v>9</v>
      </c>
    </row>
    <row r="113" spans="9:10" x14ac:dyDescent="0.45">
      <c r="I113">
        <v>555</v>
      </c>
      <c r="J113">
        <f>INDEX(C:C,MATCH(I113,A:A,1))</f>
        <v>9</v>
      </c>
    </row>
    <row r="114" spans="9:10" x14ac:dyDescent="0.45">
      <c r="I114">
        <v>560</v>
      </c>
      <c r="J114">
        <f>INDEX(C:C,MATCH(I114,A:A,1))</f>
        <v>9</v>
      </c>
    </row>
    <row r="115" spans="9:10" x14ac:dyDescent="0.45">
      <c r="I115">
        <v>565</v>
      </c>
      <c r="J115">
        <f>INDEX(C:C,MATCH(I115,A:A,1))</f>
        <v>9</v>
      </c>
    </row>
    <row r="116" spans="9:10" x14ac:dyDescent="0.45">
      <c r="I116">
        <v>570</v>
      </c>
      <c r="J116">
        <f>INDEX(C:C,MATCH(I116,A:A,1))</f>
        <v>10</v>
      </c>
    </row>
    <row r="117" spans="9:10" x14ac:dyDescent="0.45">
      <c r="I117">
        <v>575</v>
      </c>
      <c r="J117">
        <f>INDEX(C:C,MATCH(I117,A:A,1))</f>
        <v>10</v>
      </c>
    </row>
    <row r="118" spans="9:10" x14ac:dyDescent="0.45">
      <c r="I118">
        <v>580</v>
      </c>
      <c r="J118">
        <f>INDEX(C:C,MATCH(I118,A:A,1))</f>
        <v>10</v>
      </c>
    </row>
    <row r="119" spans="9:10" x14ac:dyDescent="0.45">
      <c r="I119">
        <v>585</v>
      </c>
      <c r="J119">
        <f>INDEX(C:C,MATCH(I119,A:A,1))</f>
        <v>10</v>
      </c>
    </row>
    <row r="120" spans="9:10" x14ac:dyDescent="0.45">
      <c r="I120">
        <v>590</v>
      </c>
      <c r="J120">
        <f>INDEX(C:C,MATCH(I120,A:A,1))</f>
        <v>10</v>
      </c>
    </row>
    <row r="121" spans="9:10" x14ac:dyDescent="0.45">
      <c r="I121">
        <v>595</v>
      </c>
      <c r="J121">
        <f>INDEX(C:C,MATCH(I121,A:A,1))</f>
        <v>10</v>
      </c>
    </row>
    <row r="122" spans="9:10" x14ac:dyDescent="0.45">
      <c r="I122">
        <v>600</v>
      </c>
      <c r="J122">
        <f>INDEX(C:C,MATCH(I122,A:A,1))</f>
        <v>10</v>
      </c>
    </row>
    <row r="123" spans="9:10" x14ac:dyDescent="0.45">
      <c r="I123">
        <v>605</v>
      </c>
      <c r="J123">
        <f>INDEX(C:C,MATCH(I123,A:A,1))</f>
        <v>10</v>
      </c>
    </row>
    <row r="124" spans="9:10" x14ac:dyDescent="0.45">
      <c r="I124">
        <v>610</v>
      </c>
      <c r="J124">
        <f>INDEX(C:C,MATCH(I124,A:A,1))</f>
        <v>10</v>
      </c>
    </row>
    <row r="125" spans="9:10" x14ac:dyDescent="0.45">
      <c r="I125">
        <v>615</v>
      </c>
      <c r="J125">
        <f>INDEX(C:C,MATCH(I125,A:A,1))</f>
        <v>10</v>
      </c>
    </row>
    <row r="126" spans="9:10" x14ac:dyDescent="0.45">
      <c r="I126">
        <v>620</v>
      </c>
      <c r="J126">
        <f>INDEX(C:C,MATCH(I126,A:A,1))</f>
        <v>10</v>
      </c>
    </row>
    <row r="127" spans="9:10" x14ac:dyDescent="0.45">
      <c r="I127">
        <v>625</v>
      </c>
      <c r="J127">
        <f>INDEX(C:C,MATCH(I127,A:A,1))</f>
        <v>10</v>
      </c>
    </row>
    <row r="128" spans="9:10" x14ac:dyDescent="0.45">
      <c r="I128">
        <v>630</v>
      </c>
      <c r="J128">
        <f>INDEX(C:C,MATCH(I128,A:A,1))</f>
        <v>10</v>
      </c>
    </row>
    <row r="129" spans="9:10" x14ac:dyDescent="0.45">
      <c r="I129">
        <v>635</v>
      </c>
      <c r="J129">
        <f>INDEX(C:C,MATCH(I129,A:A,1))</f>
        <v>10</v>
      </c>
    </row>
    <row r="130" spans="9:10" x14ac:dyDescent="0.45">
      <c r="I130">
        <v>640</v>
      </c>
      <c r="J130">
        <f>INDEX(C:C,MATCH(I130,A:A,1))</f>
        <v>10</v>
      </c>
    </row>
    <row r="131" spans="9:10" x14ac:dyDescent="0.45">
      <c r="I131">
        <v>645</v>
      </c>
      <c r="J131">
        <f>INDEX(C:C,MATCH(I131,A:A,1))</f>
        <v>10</v>
      </c>
    </row>
    <row r="132" spans="9:10" x14ac:dyDescent="0.45">
      <c r="I132">
        <v>650</v>
      </c>
      <c r="J132">
        <f>INDEX(C:C,MATCH(I132,A:A,1))</f>
        <v>10</v>
      </c>
    </row>
    <row r="133" spans="9:10" x14ac:dyDescent="0.45">
      <c r="I133">
        <v>655</v>
      </c>
      <c r="J133">
        <f>INDEX(C:C,MATCH(I133,A:A,1))</f>
        <v>10</v>
      </c>
    </row>
    <row r="134" spans="9:10" x14ac:dyDescent="0.45">
      <c r="I134">
        <v>660</v>
      </c>
      <c r="J134">
        <f>INDEX(C:C,MATCH(I134,A:A,1))</f>
        <v>10</v>
      </c>
    </row>
    <row r="135" spans="9:10" x14ac:dyDescent="0.45">
      <c r="I135">
        <v>665</v>
      </c>
      <c r="J135">
        <f>INDEX(C:C,MATCH(I135,A:A,1))</f>
        <v>10</v>
      </c>
    </row>
    <row r="136" spans="9:10" x14ac:dyDescent="0.45">
      <c r="I136">
        <v>670</v>
      </c>
      <c r="J136">
        <f>INDEX(C:C,MATCH(I136,A:A,1))</f>
        <v>10</v>
      </c>
    </row>
    <row r="137" spans="9:10" x14ac:dyDescent="0.45">
      <c r="I137">
        <v>675</v>
      </c>
      <c r="J137">
        <f>INDEX(C:C,MATCH(I137,A:A,1))</f>
        <v>10</v>
      </c>
    </row>
    <row r="138" spans="9:10" x14ac:dyDescent="0.45">
      <c r="I138">
        <v>680</v>
      </c>
      <c r="J138">
        <f>INDEX(C:C,MATCH(I138,A:A,1))</f>
        <v>10</v>
      </c>
    </row>
    <row r="139" spans="9:10" x14ac:dyDescent="0.45">
      <c r="I139">
        <v>685</v>
      </c>
      <c r="J139">
        <f>INDEX(C:C,MATCH(I139,A:A,1))</f>
        <v>10</v>
      </c>
    </row>
    <row r="140" spans="9:10" x14ac:dyDescent="0.45">
      <c r="I140">
        <v>690</v>
      </c>
      <c r="J140">
        <f>INDEX(C:C,MATCH(I140,A:A,1))</f>
        <v>12</v>
      </c>
    </row>
    <row r="141" spans="9:10" x14ac:dyDescent="0.45">
      <c r="I141">
        <v>695</v>
      </c>
      <c r="J141">
        <f>INDEX(C:C,MATCH(I141,A:A,1))</f>
        <v>12</v>
      </c>
    </row>
    <row r="142" spans="9:10" x14ac:dyDescent="0.45">
      <c r="I142">
        <v>700</v>
      </c>
      <c r="J142">
        <f>INDEX(C:C,MATCH(I142,A:A,1))</f>
        <v>12</v>
      </c>
    </row>
    <row r="143" spans="9:10" x14ac:dyDescent="0.45">
      <c r="I143">
        <v>705</v>
      </c>
      <c r="J143">
        <f>INDEX(C:C,MATCH(I143,A:A,1))</f>
        <v>12</v>
      </c>
    </row>
    <row r="144" spans="9:10" x14ac:dyDescent="0.45">
      <c r="I144">
        <v>710</v>
      </c>
      <c r="J144">
        <f>INDEX(C:C,MATCH(I144,A:A,1))</f>
        <v>12</v>
      </c>
    </row>
    <row r="145" spans="9:10" x14ac:dyDescent="0.45">
      <c r="I145">
        <v>715</v>
      </c>
      <c r="J145">
        <f>INDEX(C:C,MATCH(I145,A:A,1))</f>
        <v>12</v>
      </c>
    </row>
    <row r="146" spans="9:10" x14ac:dyDescent="0.45">
      <c r="I146">
        <v>720</v>
      </c>
      <c r="J146">
        <f>INDEX(C:C,MATCH(I146,A:A,1))</f>
        <v>12</v>
      </c>
    </row>
    <row r="147" spans="9:10" x14ac:dyDescent="0.45">
      <c r="I147">
        <v>725</v>
      </c>
      <c r="J147">
        <f>INDEX(C:C,MATCH(I147,A:A,1))</f>
        <v>12</v>
      </c>
    </row>
    <row r="148" spans="9:10" x14ac:dyDescent="0.45">
      <c r="I148">
        <v>730</v>
      </c>
      <c r="J148">
        <f>INDEX(C:C,MATCH(I148,A:A,1))</f>
        <v>12</v>
      </c>
    </row>
    <row r="149" spans="9:10" x14ac:dyDescent="0.45">
      <c r="I149">
        <v>735</v>
      </c>
      <c r="J149">
        <f>INDEX(C:C,MATCH(I149,A:A,1))</f>
        <v>12</v>
      </c>
    </row>
    <row r="150" spans="9:10" x14ac:dyDescent="0.45">
      <c r="I150">
        <v>740</v>
      </c>
      <c r="J150">
        <f>INDEX(C:C,MATCH(I150,A:A,1))</f>
        <v>12</v>
      </c>
    </row>
    <row r="151" spans="9:10" x14ac:dyDescent="0.45">
      <c r="I151">
        <v>745</v>
      </c>
      <c r="J151">
        <f>INDEX(C:C,MATCH(I151,A:A,1))</f>
        <v>12</v>
      </c>
    </row>
    <row r="152" spans="9:10" x14ac:dyDescent="0.45">
      <c r="I152">
        <v>750</v>
      </c>
      <c r="J152">
        <f>INDEX(C:C,MATCH(I152,A:A,1))</f>
        <v>12</v>
      </c>
    </row>
    <row r="153" spans="9:10" x14ac:dyDescent="0.45">
      <c r="I153">
        <v>755</v>
      </c>
      <c r="J153">
        <f>INDEX(C:C,MATCH(I153,A:A,1))</f>
        <v>12</v>
      </c>
    </row>
    <row r="154" spans="9:10" x14ac:dyDescent="0.45">
      <c r="I154">
        <v>760</v>
      </c>
      <c r="J154">
        <f>INDEX(C:C,MATCH(I154,A:A,1))</f>
        <v>12</v>
      </c>
    </row>
    <row r="155" spans="9:10" x14ac:dyDescent="0.45">
      <c r="I155">
        <v>765</v>
      </c>
      <c r="J155">
        <f>INDEX(C:C,MATCH(I155,A:A,1))</f>
        <v>12</v>
      </c>
    </row>
    <row r="156" spans="9:10" x14ac:dyDescent="0.45">
      <c r="I156">
        <v>770</v>
      </c>
      <c r="J156">
        <f>INDEX(C:C,MATCH(I156,A:A,1))</f>
        <v>12</v>
      </c>
    </row>
    <row r="157" spans="9:10" x14ac:dyDescent="0.45">
      <c r="I157">
        <v>775</v>
      </c>
      <c r="J157">
        <f>INDEX(C:C,MATCH(I157,A:A,1))</f>
        <v>12</v>
      </c>
    </row>
    <row r="158" spans="9:10" x14ac:dyDescent="0.45">
      <c r="I158">
        <v>780</v>
      </c>
      <c r="J158">
        <f>INDEX(C:C,MATCH(I158,A:A,1))</f>
        <v>12</v>
      </c>
    </row>
    <row r="159" spans="9:10" x14ac:dyDescent="0.45">
      <c r="I159">
        <v>785</v>
      </c>
      <c r="J159">
        <f>INDEX(C:C,MATCH(I159,A:A,1))</f>
        <v>12</v>
      </c>
    </row>
    <row r="160" spans="9:10" x14ac:dyDescent="0.45">
      <c r="I160">
        <v>790</v>
      </c>
      <c r="J160">
        <f>INDEX(C:C,MATCH(I160,A:A,1))</f>
        <v>12</v>
      </c>
    </row>
    <row r="161" spans="9:10" x14ac:dyDescent="0.45">
      <c r="I161">
        <v>795</v>
      </c>
      <c r="J161">
        <f>INDEX(C:C,MATCH(I161,A:A,1))</f>
        <v>12</v>
      </c>
    </row>
    <row r="162" spans="9:10" x14ac:dyDescent="0.45">
      <c r="I162">
        <v>800</v>
      </c>
      <c r="J162">
        <f>INDEX(C:C,MATCH(I162,A:A,1))</f>
        <v>12</v>
      </c>
    </row>
    <row r="163" spans="9:10" x14ac:dyDescent="0.45">
      <c r="I163">
        <v>805</v>
      </c>
      <c r="J163">
        <f>INDEX(C:C,MATCH(I163,A:A,1))</f>
        <v>12</v>
      </c>
    </row>
    <row r="164" spans="9:10" x14ac:dyDescent="0.45">
      <c r="I164">
        <v>810</v>
      </c>
      <c r="J164">
        <f>INDEX(C:C,MATCH(I164,A:A,1))</f>
        <v>14</v>
      </c>
    </row>
    <row r="165" spans="9:10" x14ac:dyDescent="0.45">
      <c r="I165">
        <v>815</v>
      </c>
      <c r="J165">
        <f>INDEX(C:C,MATCH(I165,A:A,1))</f>
        <v>14</v>
      </c>
    </row>
    <row r="166" spans="9:10" x14ac:dyDescent="0.45">
      <c r="I166">
        <v>820</v>
      </c>
      <c r="J166">
        <f>INDEX(C:C,MATCH(I166,A:A,1))</f>
        <v>14</v>
      </c>
    </row>
    <row r="167" spans="9:10" x14ac:dyDescent="0.45">
      <c r="I167">
        <v>825</v>
      </c>
      <c r="J167">
        <f>INDEX(C:C,MATCH(I167,A:A,1))</f>
        <v>14</v>
      </c>
    </row>
    <row r="168" spans="9:10" x14ac:dyDescent="0.45">
      <c r="I168">
        <v>830</v>
      </c>
      <c r="J168">
        <f>INDEX(C:C,MATCH(I168,A:A,1))</f>
        <v>14</v>
      </c>
    </row>
    <row r="169" spans="9:10" x14ac:dyDescent="0.45">
      <c r="I169">
        <v>835</v>
      </c>
      <c r="J169">
        <f>INDEX(C:C,MATCH(I169,A:A,1))</f>
        <v>14</v>
      </c>
    </row>
    <row r="170" spans="9:10" x14ac:dyDescent="0.45">
      <c r="I170">
        <v>840</v>
      </c>
      <c r="J170">
        <f>INDEX(C:C,MATCH(I170,A:A,1))</f>
        <v>14</v>
      </c>
    </row>
    <row r="171" spans="9:10" x14ac:dyDescent="0.45">
      <c r="I171">
        <v>845</v>
      </c>
      <c r="J171">
        <f>INDEX(C:C,MATCH(I171,A:A,1))</f>
        <v>14</v>
      </c>
    </row>
    <row r="172" spans="9:10" x14ac:dyDescent="0.45">
      <c r="I172">
        <v>850</v>
      </c>
      <c r="J172">
        <f>INDEX(C:C,MATCH(I172,A:A,1))</f>
        <v>14</v>
      </c>
    </row>
    <row r="173" spans="9:10" x14ac:dyDescent="0.45">
      <c r="I173">
        <v>855</v>
      </c>
      <c r="J173">
        <f>INDEX(C:C,MATCH(I173,A:A,1))</f>
        <v>14</v>
      </c>
    </row>
    <row r="174" spans="9:10" x14ac:dyDescent="0.45">
      <c r="I174">
        <v>860</v>
      </c>
      <c r="J174">
        <f>INDEX(C:C,MATCH(I174,A:A,1))</f>
        <v>14</v>
      </c>
    </row>
    <row r="175" spans="9:10" x14ac:dyDescent="0.45">
      <c r="I175">
        <v>865</v>
      </c>
      <c r="J175">
        <f>INDEX(C:C,MATCH(I175,A:A,1))</f>
        <v>14</v>
      </c>
    </row>
    <row r="176" spans="9:10" x14ac:dyDescent="0.45">
      <c r="I176">
        <v>870</v>
      </c>
      <c r="J176">
        <f>INDEX(C:C,MATCH(I176,A:A,1))</f>
        <v>14</v>
      </c>
    </row>
    <row r="177" spans="9:10" x14ac:dyDescent="0.45">
      <c r="I177">
        <v>875</v>
      </c>
      <c r="J177">
        <f>INDEX(C:C,MATCH(I177,A:A,1))</f>
        <v>14</v>
      </c>
    </row>
    <row r="178" spans="9:10" x14ac:dyDescent="0.45">
      <c r="I178">
        <v>880</v>
      </c>
      <c r="J178">
        <f>INDEX(C:C,MATCH(I178,A:A,1))</f>
        <v>14</v>
      </c>
    </row>
    <row r="179" spans="9:10" x14ac:dyDescent="0.45">
      <c r="I179">
        <v>885</v>
      </c>
      <c r="J179">
        <f>INDEX(C:C,MATCH(I179,A:A,1))</f>
        <v>14</v>
      </c>
    </row>
    <row r="180" spans="9:10" x14ac:dyDescent="0.45">
      <c r="I180">
        <v>890</v>
      </c>
      <c r="J180">
        <f>INDEX(C:C,MATCH(I180,A:A,1))</f>
        <v>14</v>
      </c>
    </row>
    <row r="181" spans="9:10" x14ac:dyDescent="0.45">
      <c r="I181">
        <v>895</v>
      </c>
      <c r="J181">
        <f>INDEX(C:C,MATCH(I181,A:A,1))</f>
        <v>14</v>
      </c>
    </row>
    <row r="182" spans="9:10" x14ac:dyDescent="0.45">
      <c r="I182">
        <v>900</v>
      </c>
      <c r="J182">
        <f>INDEX(C:C,MATCH(I182,A:A,1))</f>
        <v>14</v>
      </c>
    </row>
    <row r="183" spans="9:10" x14ac:dyDescent="0.45">
      <c r="I183">
        <v>905</v>
      </c>
      <c r="J183">
        <f>INDEX(C:C,MATCH(I183,A:A,1))</f>
        <v>14</v>
      </c>
    </row>
    <row r="184" spans="9:10" x14ac:dyDescent="0.45">
      <c r="I184">
        <v>910</v>
      </c>
      <c r="J184">
        <f>INDEX(C:C,MATCH(I184,A:A,1))</f>
        <v>14</v>
      </c>
    </row>
    <row r="185" spans="9:10" x14ac:dyDescent="0.45">
      <c r="I185">
        <v>915</v>
      </c>
      <c r="J185">
        <f>INDEX(C:C,MATCH(I185,A:A,1))</f>
        <v>14</v>
      </c>
    </row>
    <row r="186" spans="9:10" x14ac:dyDescent="0.45">
      <c r="I186">
        <v>920</v>
      </c>
      <c r="J186">
        <f>INDEX(C:C,MATCH(I186,A:A,1))</f>
        <v>14</v>
      </c>
    </row>
    <row r="187" spans="9:10" x14ac:dyDescent="0.45">
      <c r="I187">
        <v>925</v>
      </c>
      <c r="J187">
        <f>INDEX(C:C,MATCH(I187,A:A,1))</f>
        <v>14</v>
      </c>
    </row>
    <row r="188" spans="9:10" x14ac:dyDescent="0.45">
      <c r="I188">
        <v>930</v>
      </c>
      <c r="J188">
        <f>INDEX(C:C,MATCH(I188,A:A,1))</f>
        <v>16</v>
      </c>
    </row>
    <row r="189" spans="9:10" x14ac:dyDescent="0.45">
      <c r="I189">
        <v>935</v>
      </c>
      <c r="J189">
        <f>INDEX(C:C,MATCH(I189,A:A,1))</f>
        <v>16</v>
      </c>
    </row>
    <row r="190" spans="9:10" x14ac:dyDescent="0.45">
      <c r="I190">
        <v>940</v>
      </c>
      <c r="J190">
        <f>INDEX(C:C,MATCH(I190,A:A,1))</f>
        <v>16</v>
      </c>
    </row>
    <row r="191" spans="9:10" x14ac:dyDescent="0.45">
      <c r="I191">
        <v>945</v>
      </c>
      <c r="J191">
        <f>INDEX(C:C,MATCH(I191,A:A,1))</f>
        <v>16</v>
      </c>
    </row>
    <row r="192" spans="9:10" x14ac:dyDescent="0.45">
      <c r="I192">
        <v>950</v>
      </c>
      <c r="J192">
        <f>INDEX(C:C,MATCH(I192,A:A,1))</f>
        <v>16</v>
      </c>
    </row>
    <row r="193" spans="9:10" x14ac:dyDescent="0.45">
      <c r="I193">
        <v>955</v>
      </c>
      <c r="J193">
        <f>INDEX(C:C,MATCH(I193,A:A,1))</f>
        <v>16</v>
      </c>
    </row>
    <row r="194" spans="9:10" x14ac:dyDescent="0.45">
      <c r="I194">
        <v>960</v>
      </c>
      <c r="J194">
        <f>INDEX(C:C,MATCH(I194,A:A,1))</f>
        <v>16</v>
      </c>
    </row>
    <row r="195" spans="9:10" x14ac:dyDescent="0.45">
      <c r="I195">
        <v>965</v>
      </c>
      <c r="J195">
        <f>INDEX(C:C,MATCH(I195,A:A,1))</f>
        <v>16</v>
      </c>
    </row>
    <row r="196" spans="9:10" x14ac:dyDescent="0.45">
      <c r="I196">
        <v>970</v>
      </c>
      <c r="J196">
        <f>INDEX(C:C,MATCH(I196,A:A,1))</f>
        <v>16</v>
      </c>
    </row>
    <row r="197" spans="9:10" x14ac:dyDescent="0.45">
      <c r="I197">
        <v>975</v>
      </c>
      <c r="J197">
        <f>INDEX(C:C,MATCH(I197,A:A,1))</f>
        <v>16</v>
      </c>
    </row>
    <row r="198" spans="9:10" x14ac:dyDescent="0.45">
      <c r="I198">
        <v>980</v>
      </c>
      <c r="J198">
        <f>INDEX(C:C,MATCH(I198,A:A,1))</f>
        <v>16</v>
      </c>
    </row>
    <row r="199" spans="9:10" x14ac:dyDescent="0.45">
      <c r="I199">
        <v>985</v>
      </c>
      <c r="J199">
        <f>INDEX(C:C,MATCH(I199,A:A,1))</f>
        <v>16</v>
      </c>
    </row>
    <row r="200" spans="9:10" x14ac:dyDescent="0.45">
      <c r="I200">
        <v>990</v>
      </c>
      <c r="J200">
        <f>INDEX(C:C,MATCH(I200,A:A,1))</f>
        <v>16</v>
      </c>
    </row>
    <row r="201" spans="9:10" x14ac:dyDescent="0.45">
      <c r="I201">
        <v>995</v>
      </c>
      <c r="J201">
        <f>INDEX(C:C,MATCH(I201,A:A,1))</f>
        <v>16</v>
      </c>
    </row>
    <row r="202" spans="9:10" x14ac:dyDescent="0.45">
      <c r="I202">
        <v>1000</v>
      </c>
      <c r="J202">
        <f>INDEX(C:C,MATCH(I202,A:A,1))</f>
        <v>16</v>
      </c>
    </row>
    <row r="203" spans="9:10" x14ac:dyDescent="0.45">
      <c r="I203">
        <v>1005</v>
      </c>
      <c r="J203">
        <f>INDEX(C:C,MATCH(I203,A:A,1))</f>
        <v>16</v>
      </c>
    </row>
    <row r="204" spans="9:10" x14ac:dyDescent="0.45">
      <c r="I204">
        <v>1010</v>
      </c>
      <c r="J204">
        <f>INDEX(C:C,MATCH(I204,A:A,1))</f>
        <v>16</v>
      </c>
    </row>
    <row r="205" spans="9:10" x14ac:dyDescent="0.45">
      <c r="I205">
        <v>1015</v>
      </c>
      <c r="J205">
        <f>INDEX(C:C,MATCH(I205,A:A,1))</f>
        <v>16</v>
      </c>
    </row>
    <row r="206" spans="9:10" x14ac:dyDescent="0.45">
      <c r="I206">
        <v>1020</v>
      </c>
      <c r="J206">
        <f>INDEX(C:C,MATCH(I206,A:A,1))</f>
        <v>16</v>
      </c>
    </row>
    <row r="207" spans="9:10" x14ac:dyDescent="0.45">
      <c r="I207">
        <v>1025</v>
      </c>
      <c r="J207">
        <f>INDEX(C:C,MATCH(I207,A:A,1))</f>
        <v>16</v>
      </c>
    </row>
    <row r="208" spans="9:10" x14ac:dyDescent="0.45">
      <c r="I208">
        <v>1030</v>
      </c>
      <c r="J208">
        <f>INDEX(C:C,MATCH(I208,A:A,1))</f>
        <v>16</v>
      </c>
    </row>
    <row r="209" spans="9:10" x14ac:dyDescent="0.45">
      <c r="I209">
        <v>1035</v>
      </c>
      <c r="J209">
        <f>INDEX(C:C,MATCH(I209,A:A,1))</f>
        <v>16</v>
      </c>
    </row>
    <row r="210" spans="9:10" x14ac:dyDescent="0.45">
      <c r="I210">
        <v>1040</v>
      </c>
      <c r="J210">
        <f>INDEX(C:C,MATCH(I210,A:A,1))</f>
        <v>16</v>
      </c>
    </row>
    <row r="211" spans="9:10" x14ac:dyDescent="0.45">
      <c r="I211">
        <v>1045</v>
      </c>
      <c r="J211">
        <f>INDEX(C:C,MATCH(I211,A:A,1))</f>
        <v>16</v>
      </c>
    </row>
    <row r="212" spans="9:10" x14ac:dyDescent="0.45">
      <c r="I212">
        <v>1050</v>
      </c>
      <c r="J212">
        <f>INDEX(C:C,MATCH(I212,A:A,1))</f>
        <v>18</v>
      </c>
    </row>
    <row r="213" spans="9:10" x14ac:dyDescent="0.45">
      <c r="I213">
        <v>1055</v>
      </c>
      <c r="J213">
        <f>INDEX(C:C,MATCH(I213,A:A,1))</f>
        <v>18</v>
      </c>
    </row>
    <row r="214" spans="9:10" x14ac:dyDescent="0.45">
      <c r="I214">
        <v>1060</v>
      </c>
      <c r="J214">
        <f>INDEX(C:C,MATCH(I214,A:A,1))</f>
        <v>18</v>
      </c>
    </row>
    <row r="215" spans="9:10" x14ac:dyDescent="0.45">
      <c r="I215">
        <v>1065</v>
      </c>
      <c r="J215">
        <f>INDEX(C:C,MATCH(I215,A:A,1))</f>
        <v>18</v>
      </c>
    </row>
    <row r="216" spans="9:10" x14ac:dyDescent="0.45">
      <c r="I216">
        <v>1070</v>
      </c>
      <c r="J216">
        <f>INDEX(C:C,MATCH(I216,A:A,1))</f>
        <v>18</v>
      </c>
    </row>
    <row r="217" spans="9:10" x14ac:dyDescent="0.45">
      <c r="I217">
        <v>1075</v>
      </c>
      <c r="J217">
        <f>INDEX(C:C,MATCH(I217,A:A,1))</f>
        <v>18</v>
      </c>
    </row>
    <row r="218" spans="9:10" x14ac:dyDescent="0.45">
      <c r="I218">
        <v>1080</v>
      </c>
      <c r="J218">
        <f>INDEX(C:C,MATCH(I218,A:A,1))</f>
        <v>18</v>
      </c>
    </row>
    <row r="219" spans="9:10" x14ac:dyDescent="0.45">
      <c r="I219">
        <v>1085</v>
      </c>
      <c r="J219">
        <f>INDEX(C:C,MATCH(I219,A:A,1))</f>
        <v>18</v>
      </c>
    </row>
    <row r="220" spans="9:10" x14ac:dyDescent="0.45">
      <c r="I220">
        <v>1090</v>
      </c>
      <c r="J220">
        <f>INDEX(C:C,MATCH(I220,A:A,1))</f>
        <v>18</v>
      </c>
    </row>
    <row r="221" spans="9:10" x14ac:dyDescent="0.45">
      <c r="I221">
        <v>1095</v>
      </c>
      <c r="J221">
        <f>INDEX(C:C,MATCH(I221,A:A,1))</f>
        <v>18</v>
      </c>
    </row>
    <row r="222" spans="9:10" x14ac:dyDescent="0.45">
      <c r="I222">
        <v>1100</v>
      </c>
      <c r="J222">
        <f>INDEX(C:C,MATCH(I222,A:A,1))</f>
        <v>18</v>
      </c>
    </row>
    <row r="223" spans="9:10" x14ac:dyDescent="0.45">
      <c r="I223">
        <v>1105</v>
      </c>
      <c r="J223">
        <f>INDEX(C:C,MATCH(I223,A:A,1))</f>
        <v>18</v>
      </c>
    </row>
    <row r="224" spans="9:10" x14ac:dyDescent="0.45">
      <c r="I224">
        <v>1110</v>
      </c>
      <c r="J224">
        <f>INDEX(C:C,MATCH(I224,A:A,1))</f>
        <v>18</v>
      </c>
    </row>
    <row r="225" spans="9:10" x14ac:dyDescent="0.45">
      <c r="I225">
        <v>1115</v>
      </c>
      <c r="J225">
        <f>INDEX(C:C,MATCH(I225,A:A,1))</f>
        <v>18</v>
      </c>
    </row>
    <row r="226" spans="9:10" x14ac:dyDescent="0.45">
      <c r="I226">
        <v>1120</v>
      </c>
      <c r="J226">
        <f>INDEX(C:C,MATCH(I226,A:A,1))</f>
        <v>18</v>
      </c>
    </row>
    <row r="227" spans="9:10" x14ac:dyDescent="0.45">
      <c r="I227">
        <v>1125</v>
      </c>
      <c r="J227">
        <f>INDEX(C:C,MATCH(I227,A:A,1))</f>
        <v>18</v>
      </c>
    </row>
    <row r="228" spans="9:10" x14ac:dyDescent="0.45">
      <c r="I228">
        <v>1130</v>
      </c>
      <c r="J228">
        <f>INDEX(C:C,MATCH(I228,A:A,1))</f>
        <v>18</v>
      </c>
    </row>
    <row r="229" spans="9:10" x14ac:dyDescent="0.45">
      <c r="I229">
        <v>1135</v>
      </c>
      <c r="J229">
        <f>INDEX(C:C,MATCH(I229,A:A,1))</f>
        <v>18</v>
      </c>
    </row>
    <row r="230" spans="9:10" x14ac:dyDescent="0.45">
      <c r="I230">
        <v>1140</v>
      </c>
      <c r="J230">
        <f>INDEX(C:C,MATCH(I230,A:A,1))</f>
        <v>18</v>
      </c>
    </row>
    <row r="231" spans="9:10" x14ac:dyDescent="0.45">
      <c r="I231">
        <v>1145</v>
      </c>
      <c r="J231">
        <f>INDEX(C:C,MATCH(I231,A:A,1))</f>
        <v>18</v>
      </c>
    </row>
    <row r="232" spans="9:10" x14ac:dyDescent="0.45">
      <c r="I232">
        <v>1150</v>
      </c>
      <c r="J232">
        <f>INDEX(C:C,MATCH(I232,A:A,1))</f>
        <v>18</v>
      </c>
    </row>
    <row r="233" spans="9:10" x14ac:dyDescent="0.45">
      <c r="I233">
        <v>1155</v>
      </c>
      <c r="J233">
        <f>INDEX(C:C,MATCH(I233,A:A,1))</f>
        <v>18</v>
      </c>
    </row>
    <row r="234" spans="9:10" x14ac:dyDescent="0.45">
      <c r="I234">
        <v>1160</v>
      </c>
      <c r="J234">
        <f>INDEX(C:C,MATCH(I234,A:A,1))</f>
        <v>18</v>
      </c>
    </row>
    <row r="235" spans="9:10" x14ac:dyDescent="0.45">
      <c r="I235">
        <v>1165</v>
      </c>
      <c r="J235">
        <f>INDEX(C:C,MATCH(I235,A:A,1))</f>
        <v>18</v>
      </c>
    </row>
    <row r="236" spans="9:10" x14ac:dyDescent="0.45">
      <c r="I236">
        <v>1170</v>
      </c>
      <c r="J236">
        <f>INDEX(C:C,MATCH(I236,A:A,1))</f>
        <v>20</v>
      </c>
    </row>
    <row r="237" spans="9:10" x14ac:dyDescent="0.45">
      <c r="I237">
        <v>1175</v>
      </c>
      <c r="J237">
        <f>INDEX(C:C,MATCH(I237,A:A,1))</f>
        <v>20</v>
      </c>
    </row>
    <row r="238" spans="9:10" x14ac:dyDescent="0.45">
      <c r="I238">
        <v>1180</v>
      </c>
      <c r="J238">
        <f>INDEX(C:C,MATCH(I238,A:A,1))</f>
        <v>20</v>
      </c>
    </row>
    <row r="239" spans="9:10" x14ac:dyDescent="0.45">
      <c r="I239">
        <v>1185</v>
      </c>
      <c r="J239">
        <f>INDEX(C:C,MATCH(I239,A:A,1))</f>
        <v>20</v>
      </c>
    </row>
    <row r="240" spans="9:10" x14ac:dyDescent="0.45">
      <c r="I240">
        <v>1190</v>
      </c>
      <c r="J240">
        <f>INDEX(C:C,MATCH(I240,A:A,1))</f>
        <v>20</v>
      </c>
    </row>
    <row r="241" spans="9:10" x14ac:dyDescent="0.45">
      <c r="I241">
        <v>1195</v>
      </c>
      <c r="J241">
        <f>INDEX(C:C,MATCH(I241,A:A,1))</f>
        <v>20</v>
      </c>
    </row>
    <row r="242" spans="9:10" x14ac:dyDescent="0.45">
      <c r="I242">
        <v>1200</v>
      </c>
      <c r="J242">
        <f>INDEX(C:C,MATCH(I242,A:A,1))</f>
        <v>20</v>
      </c>
    </row>
    <row r="243" spans="9:10" x14ac:dyDescent="0.45">
      <c r="I243">
        <v>1205</v>
      </c>
      <c r="J243">
        <f>INDEX(C:C,MATCH(I243,A:A,1))</f>
        <v>20</v>
      </c>
    </row>
    <row r="244" spans="9:10" x14ac:dyDescent="0.45">
      <c r="I244">
        <v>1210</v>
      </c>
      <c r="J244">
        <f>INDEX(C:C,MATCH(I244,A:A,1))</f>
        <v>20</v>
      </c>
    </row>
    <row r="245" spans="9:10" x14ac:dyDescent="0.45">
      <c r="I245">
        <v>1215</v>
      </c>
      <c r="J245">
        <f>INDEX(C:C,MATCH(I245,A:A,1))</f>
        <v>20</v>
      </c>
    </row>
    <row r="246" spans="9:10" x14ac:dyDescent="0.45">
      <c r="I246">
        <v>1220</v>
      </c>
      <c r="J246">
        <f>INDEX(C:C,MATCH(I246,A:A,1))</f>
        <v>20</v>
      </c>
    </row>
    <row r="247" spans="9:10" x14ac:dyDescent="0.45">
      <c r="I247">
        <v>1225</v>
      </c>
      <c r="J247">
        <f>INDEX(C:C,MATCH(I247,A:A,1))</f>
        <v>20</v>
      </c>
    </row>
    <row r="248" spans="9:10" x14ac:dyDescent="0.45">
      <c r="I248">
        <v>1230</v>
      </c>
      <c r="J248">
        <f>INDEX(C:C,MATCH(I248,A:A,1))</f>
        <v>20</v>
      </c>
    </row>
    <row r="249" spans="9:10" x14ac:dyDescent="0.45">
      <c r="I249">
        <v>1235</v>
      </c>
      <c r="J249">
        <f>INDEX(C:C,MATCH(I249,A:A,1))</f>
        <v>20</v>
      </c>
    </row>
    <row r="250" spans="9:10" x14ac:dyDescent="0.45">
      <c r="I250">
        <v>1240</v>
      </c>
      <c r="J250">
        <f>INDEX(C:C,MATCH(I250,A:A,1))</f>
        <v>20</v>
      </c>
    </row>
    <row r="251" spans="9:10" x14ac:dyDescent="0.45">
      <c r="I251">
        <v>1245</v>
      </c>
      <c r="J251">
        <f>INDEX(C:C,MATCH(I251,A:A,1))</f>
        <v>20</v>
      </c>
    </row>
    <row r="252" spans="9:10" x14ac:dyDescent="0.45">
      <c r="I252">
        <v>1250</v>
      </c>
      <c r="J252">
        <f>INDEX(C:C,MATCH(I252,A:A,1))</f>
        <v>20</v>
      </c>
    </row>
    <row r="253" spans="9:10" x14ac:dyDescent="0.45">
      <c r="I253">
        <v>1255</v>
      </c>
      <c r="J253">
        <f>INDEX(C:C,MATCH(I253,A:A,1))</f>
        <v>20</v>
      </c>
    </row>
    <row r="254" spans="9:10" x14ac:dyDescent="0.45">
      <c r="I254">
        <v>1260</v>
      </c>
      <c r="J254">
        <f>INDEX(C:C,MATCH(I254,A:A,1))</f>
        <v>20</v>
      </c>
    </row>
    <row r="255" spans="9:10" x14ac:dyDescent="0.45">
      <c r="I255">
        <v>1265</v>
      </c>
      <c r="J255">
        <f>INDEX(C:C,MATCH(I255,A:A,1))</f>
        <v>20</v>
      </c>
    </row>
    <row r="256" spans="9:10" x14ac:dyDescent="0.45">
      <c r="I256">
        <v>1270</v>
      </c>
      <c r="J256">
        <f>INDEX(C:C,MATCH(I256,A:A,1))</f>
        <v>20</v>
      </c>
    </row>
    <row r="257" spans="9:10" x14ac:dyDescent="0.45">
      <c r="I257">
        <v>1275</v>
      </c>
      <c r="J257">
        <f>INDEX(C:C,MATCH(I257,A:A,1))</f>
        <v>20</v>
      </c>
    </row>
    <row r="258" spans="9:10" x14ac:dyDescent="0.45">
      <c r="I258">
        <v>1280</v>
      </c>
      <c r="J258">
        <f>INDEX(C:C,MATCH(I258,A:A,1))</f>
        <v>20</v>
      </c>
    </row>
    <row r="259" spans="9:10" x14ac:dyDescent="0.45">
      <c r="I259">
        <v>1285</v>
      </c>
      <c r="J259">
        <f>INDEX(C:C,MATCH(I259,A:A,1))</f>
        <v>20</v>
      </c>
    </row>
    <row r="260" spans="9:10" x14ac:dyDescent="0.45">
      <c r="I260">
        <v>1290</v>
      </c>
      <c r="J260">
        <f>INDEX(C:C,MATCH(I260,A:A,1))</f>
        <v>20</v>
      </c>
    </row>
    <row r="261" spans="9:10" x14ac:dyDescent="0.45">
      <c r="I261">
        <v>1295</v>
      </c>
      <c r="J261">
        <f>INDEX(C:C,MATCH(I261,A:A,1))</f>
        <v>20</v>
      </c>
    </row>
    <row r="262" spans="9:10" x14ac:dyDescent="0.45">
      <c r="I262">
        <v>1300</v>
      </c>
      <c r="J262">
        <f>INDEX(C:C,MATCH(I262,A:A,1))</f>
        <v>20</v>
      </c>
    </row>
    <row r="263" spans="9:10" x14ac:dyDescent="0.45">
      <c r="I263">
        <v>1305</v>
      </c>
      <c r="J263">
        <f>INDEX(C:C,MATCH(I263,A:A,1))</f>
        <v>20</v>
      </c>
    </row>
    <row r="264" spans="9:10" x14ac:dyDescent="0.45">
      <c r="I264">
        <v>1310</v>
      </c>
      <c r="J264">
        <f>INDEX(C:C,MATCH(I264,A:A,1))</f>
        <v>20</v>
      </c>
    </row>
    <row r="265" spans="9:10" x14ac:dyDescent="0.45">
      <c r="I265">
        <v>1315</v>
      </c>
      <c r="J265">
        <f>INDEX(C:C,MATCH(I265,A:A,1))</f>
        <v>20</v>
      </c>
    </row>
    <row r="266" spans="9:10" x14ac:dyDescent="0.45">
      <c r="I266">
        <v>1320</v>
      </c>
      <c r="J266">
        <f>INDEX(C:C,MATCH(I266,A:A,1))</f>
        <v>20</v>
      </c>
    </row>
    <row r="267" spans="9:10" x14ac:dyDescent="0.45">
      <c r="I267">
        <v>1325</v>
      </c>
      <c r="J267">
        <f>INDEX(C:C,MATCH(I267,A:A,1))</f>
        <v>20</v>
      </c>
    </row>
    <row r="268" spans="9:10" x14ac:dyDescent="0.45">
      <c r="I268">
        <v>1330</v>
      </c>
      <c r="J268">
        <f>INDEX(C:C,MATCH(I268,A:A,1))</f>
        <v>20</v>
      </c>
    </row>
    <row r="269" spans="9:10" x14ac:dyDescent="0.45">
      <c r="I269">
        <v>1335</v>
      </c>
      <c r="J269">
        <f>INDEX(C:C,MATCH(I269,A:A,1))</f>
        <v>20</v>
      </c>
    </row>
    <row r="270" spans="9:10" x14ac:dyDescent="0.45">
      <c r="I270">
        <v>1340</v>
      </c>
      <c r="J270">
        <f>INDEX(C:C,MATCH(I270,A:A,1))</f>
        <v>20</v>
      </c>
    </row>
    <row r="271" spans="9:10" x14ac:dyDescent="0.45">
      <c r="I271">
        <v>1345</v>
      </c>
      <c r="J271">
        <f>INDEX(C:C,MATCH(I271,A:A,1))</f>
        <v>20</v>
      </c>
    </row>
    <row r="272" spans="9:10" x14ac:dyDescent="0.45">
      <c r="I272">
        <v>1350</v>
      </c>
      <c r="J272">
        <f>INDEX(C:C,MATCH(I272,A:A,1))</f>
        <v>20</v>
      </c>
    </row>
    <row r="273" spans="9:10" x14ac:dyDescent="0.45">
      <c r="I273">
        <v>1355</v>
      </c>
      <c r="J273">
        <f>INDEX(C:C,MATCH(I273,A:A,1))</f>
        <v>20</v>
      </c>
    </row>
    <row r="274" spans="9:10" x14ac:dyDescent="0.45">
      <c r="I274">
        <v>1360</v>
      </c>
      <c r="J274">
        <f>INDEX(C:C,MATCH(I274,A:A,1))</f>
        <v>20</v>
      </c>
    </row>
    <row r="275" spans="9:10" x14ac:dyDescent="0.45">
      <c r="I275">
        <v>1365</v>
      </c>
      <c r="J275">
        <f>INDEX(C:C,MATCH(I275,A:A,1))</f>
        <v>20</v>
      </c>
    </row>
    <row r="276" spans="9:10" x14ac:dyDescent="0.45">
      <c r="I276">
        <v>1370</v>
      </c>
      <c r="J276">
        <f>INDEX(C:C,MATCH(I276,A:A,1))</f>
        <v>20</v>
      </c>
    </row>
    <row r="277" spans="9:10" x14ac:dyDescent="0.45">
      <c r="I277">
        <v>1375</v>
      </c>
      <c r="J277">
        <f>INDEX(C:C,MATCH(I277,A:A,1))</f>
        <v>20</v>
      </c>
    </row>
    <row r="278" spans="9:10" x14ac:dyDescent="0.45">
      <c r="I278">
        <v>1380</v>
      </c>
      <c r="J278">
        <f>INDEX(C:C,MATCH(I278,A:A,1))</f>
        <v>20</v>
      </c>
    </row>
    <row r="279" spans="9:10" x14ac:dyDescent="0.45">
      <c r="I279">
        <v>1385</v>
      </c>
      <c r="J279">
        <f>INDEX(C:C,MATCH(I279,A:A,1))</f>
        <v>20</v>
      </c>
    </row>
    <row r="280" spans="9:10" x14ac:dyDescent="0.45">
      <c r="I280">
        <v>1390</v>
      </c>
      <c r="J280">
        <f>INDEX(C:C,MATCH(I280,A:A,1))</f>
        <v>20</v>
      </c>
    </row>
    <row r="281" spans="9:10" x14ac:dyDescent="0.45">
      <c r="I281">
        <v>1395</v>
      </c>
      <c r="J281">
        <f>INDEX(C:C,MATCH(I281,A:A,1))</f>
        <v>20</v>
      </c>
    </row>
    <row r="282" spans="9:10" x14ac:dyDescent="0.45">
      <c r="I282">
        <v>1400</v>
      </c>
      <c r="J282">
        <f>INDEX(C:C,MATCH(I282,A:A,1))</f>
        <v>20</v>
      </c>
    </row>
    <row r="283" spans="9:10" x14ac:dyDescent="0.45">
      <c r="I283">
        <v>1405</v>
      </c>
      <c r="J283">
        <f>INDEX(C:C,MATCH(I283,A:A,1))</f>
        <v>20</v>
      </c>
    </row>
    <row r="284" spans="9:10" x14ac:dyDescent="0.45">
      <c r="I284">
        <v>1410</v>
      </c>
      <c r="J284">
        <f>INDEX(C:C,MATCH(I284,A:A,1))</f>
        <v>20</v>
      </c>
    </row>
    <row r="285" spans="9:10" x14ac:dyDescent="0.45">
      <c r="I285">
        <v>1415</v>
      </c>
      <c r="J285">
        <f>INDEX(C:C,MATCH(I285,A:A,1))</f>
        <v>20</v>
      </c>
    </row>
    <row r="286" spans="9:10" x14ac:dyDescent="0.45">
      <c r="I286">
        <v>1420</v>
      </c>
      <c r="J286">
        <f>INDEX(C:C,MATCH(I286,A:A,1))</f>
        <v>20</v>
      </c>
    </row>
    <row r="287" spans="9:10" x14ac:dyDescent="0.45">
      <c r="I287">
        <v>1425</v>
      </c>
      <c r="J287">
        <f>INDEX(C:C,MATCH(I287,A:A,1))</f>
        <v>20</v>
      </c>
    </row>
    <row r="288" spans="9:10" x14ac:dyDescent="0.45">
      <c r="I288">
        <v>1430</v>
      </c>
      <c r="J288">
        <f>INDEX(C:C,MATCH(I288,A:A,1))</f>
        <v>20</v>
      </c>
    </row>
    <row r="289" spans="9:10" x14ac:dyDescent="0.45">
      <c r="I289">
        <v>1435</v>
      </c>
      <c r="J289">
        <f>INDEX(C:C,MATCH(I289,A:A,1))</f>
        <v>20</v>
      </c>
    </row>
    <row r="290" spans="9:10" x14ac:dyDescent="0.45">
      <c r="I290">
        <v>1440</v>
      </c>
      <c r="J290">
        <f>INDEX(C:C,MATCH(I290,A:A,1))</f>
        <v>20</v>
      </c>
    </row>
    <row r="291" spans="9:10" x14ac:dyDescent="0.45">
      <c r="I291">
        <v>1445</v>
      </c>
      <c r="J291">
        <f>INDEX(C:C,MATCH(I291,A:A,1))</f>
        <v>20</v>
      </c>
    </row>
    <row r="292" spans="9:10" x14ac:dyDescent="0.45">
      <c r="I292">
        <v>1450</v>
      </c>
      <c r="J292">
        <f>INDEX(C:C,MATCH(I292,A:A,1))</f>
        <v>20</v>
      </c>
    </row>
    <row r="293" spans="9:10" x14ac:dyDescent="0.45">
      <c r="I293">
        <v>1455</v>
      </c>
      <c r="J293">
        <f>INDEX(C:C,MATCH(I293,A:A,1))</f>
        <v>20</v>
      </c>
    </row>
    <row r="294" spans="9:10" x14ac:dyDescent="0.45">
      <c r="I294">
        <v>1460</v>
      </c>
      <c r="J294">
        <f>INDEX(C:C,MATCH(I294,A:A,1))</f>
        <v>20</v>
      </c>
    </row>
    <row r="295" spans="9:10" x14ac:dyDescent="0.45">
      <c r="I295">
        <v>1465</v>
      </c>
      <c r="J295">
        <f>INDEX(C:C,MATCH(I295,A:A,1))</f>
        <v>20</v>
      </c>
    </row>
    <row r="296" spans="9:10" x14ac:dyDescent="0.45">
      <c r="I296">
        <v>1470</v>
      </c>
      <c r="J296">
        <f>INDEX(C:C,MATCH(I296,A:A,1))</f>
        <v>25</v>
      </c>
    </row>
    <row r="297" spans="9:10" x14ac:dyDescent="0.45">
      <c r="I297">
        <v>1475</v>
      </c>
      <c r="J297">
        <f>INDEX(C:C,MATCH(I297,A:A,1))</f>
        <v>25</v>
      </c>
    </row>
    <row r="298" spans="9:10" x14ac:dyDescent="0.45">
      <c r="I298">
        <v>1480</v>
      </c>
      <c r="J298">
        <f>INDEX(C:C,MATCH(I298,A:A,1))</f>
        <v>25</v>
      </c>
    </row>
    <row r="299" spans="9:10" x14ac:dyDescent="0.45">
      <c r="I299">
        <v>1485</v>
      </c>
      <c r="J299">
        <f>INDEX(C:C,MATCH(I299,A:A,1))</f>
        <v>25</v>
      </c>
    </row>
    <row r="300" spans="9:10" x14ac:dyDescent="0.45">
      <c r="I300">
        <v>1490</v>
      </c>
      <c r="J300">
        <f>INDEX(C:C,MATCH(I300,A:A,1))</f>
        <v>25</v>
      </c>
    </row>
    <row r="301" spans="9:10" x14ac:dyDescent="0.45">
      <c r="I301">
        <v>1495</v>
      </c>
      <c r="J301">
        <f>INDEX(C:C,MATCH(I301,A:A,1))</f>
        <v>25</v>
      </c>
    </row>
    <row r="302" spans="9:10" x14ac:dyDescent="0.45">
      <c r="I302">
        <v>1500</v>
      </c>
      <c r="J302">
        <f>INDEX(C:C,MATCH(I302,A:A,1))</f>
        <v>25</v>
      </c>
    </row>
    <row r="303" spans="9:10" x14ac:dyDescent="0.45">
      <c r="I303">
        <v>1505</v>
      </c>
      <c r="J303">
        <f>INDEX(C:C,MATCH(I303,A:A,1))</f>
        <v>25</v>
      </c>
    </row>
    <row r="304" spans="9:10" x14ac:dyDescent="0.45">
      <c r="I304">
        <v>1510</v>
      </c>
      <c r="J304">
        <f>INDEX(C:C,MATCH(I304,A:A,1))</f>
        <v>25</v>
      </c>
    </row>
    <row r="305" spans="9:10" x14ac:dyDescent="0.45">
      <c r="I305">
        <v>1515</v>
      </c>
      <c r="J305">
        <f>INDEX(C:C,MATCH(I305,A:A,1))</f>
        <v>25</v>
      </c>
    </row>
    <row r="306" spans="9:10" x14ac:dyDescent="0.45">
      <c r="I306">
        <v>1520</v>
      </c>
      <c r="J306">
        <f>INDEX(C:C,MATCH(I306,A:A,1))</f>
        <v>25</v>
      </c>
    </row>
    <row r="307" spans="9:10" x14ac:dyDescent="0.45">
      <c r="I307">
        <v>1525</v>
      </c>
      <c r="J307">
        <f>INDEX(C:C,MATCH(I307,A:A,1))</f>
        <v>25</v>
      </c>
    </row>
    <row r="308" spans="9:10" x14ac:dyDescent="0.45">
      <c r="I308">
        <v>1530</v>
      </c>
      <c r="J308">
        <f>INDEX(C:C,MATCH(I308,A:A,1))</f>
        <v>25</v>
      </c>
    </row>
    <row r="309" spans="9:10" x14ac:dyDescent="0.45">
      <c r="I309">
        <v>1535</v>
      </c>
      <c r="J309">
        <f>INDEX(C:C,MATCH(I309,A:A,1))</f>
        <v>25</v>
      </c>
    </row>
    <row r="310" spans="9:10" x14ac:dyDescent="0.45">
      <c r="I310">
        <v>1540</v>
      </c>
      <c r="J310">
        <f>INDEX(C:C,MATCH(I310,A:A,1))</f>
        <v>25</v>
      </c>
    </row>
    <row r="311" spans="9:10" x14ac:dyDescent="0.45">
      <c r="I311">
        <v>1545</v>
      </c>
      <c r="J311">
        <f>INDEX(C:C,MATCH(I311,A:A,1))</f>
        <v>25</v>
      </c>
    </row>
    <row r="312" spans="9:10" x14ac:dyDescent="0.45">
      <c r="I312">
        <v>1550</v>
      </c>
      <c r="J312">
        <f>INDEX(C:C,MATCH(I312,A:A,1))</f>
        <v>25</v>
      </c>
    </row>
    <row r="313" spans="9:10" x14ac:dyDescent="0.45">
      <c r="I313">
        <v>1555</v>
      </c>
      <c r="J313">
        <f>INDEX(C:C,MATCH(I313,A:A,1))</f>
        <v>25</v>
      </c>
    </row>
    <row r="314" spans="9:10" x14ac:dyDescent="0.45">
      <c r="I314">
        <v>1560</v>
      </c>
      <c r="J314">
        <f>INDEX(C:C,MATCH(I314,A:A,1))</f>
        <v>25</v>
      </c>
    </row>
    <row r="315" spans="9:10" x14ac:dyDescent="0.45">
      <c r="I315">
        <v>1565</v>
      </c>
      <c r="J315">
        <f>INDEX(C:C,MATCH(I315,A:A,1))</f>
        <v>25</v>
      </c>
    </row>
    <row r="316" spans="9:10" x14ac:dyDescent="0.45">
      <c r="I316">
        <v>1570</v>
      </c>
      <c r="J316">
        <f>INDEX(C:C,MATCH(I316,A:A,1))</f>
        <v>25</v>
      </c>
    </row>
    <row r="317" spans="9:10" x14ac:dyDescent="0.45">
      <c r="I317">
        <v>1575</v>
      </c>
      <c r="J317">
        <f>INDEX(C:C,MATCH(I317,A:A,1))</f>
        <v>25</v>
      </c>
    </row>
    <row r="318" spans="9:10" x14ac:dyDescent="0.45">
      <c r="I318">
        <v>1580</v>
      </c>
      <c r="J318">
        <f>INDEX(C:C,MATCH(I318,A:A,1))</f>
        <v>25</v>
      </c>
    </row>
    <row r="319" spans="9:10" x14ac:dyDescent="0.45">
      <c r="I319">
        <v>1585</v>
      </c>
      <c r="J319">
        <f>INDEX(C:C,MATCH(I319,A:A,1))</f>
        <v>25</v>
      </c>
    </row>
    <row r="320" spans="9:10" x14ac:dyDescent="0.45">
      <c r="I320">
        <v>1590</v>
      </c>
      <c r="J320">
        <f>INDEX(C:C,MATCH(I320,A:A,1))</f>
        <v>25</v>
      </c>
    </row>
    <row r="321" spans="9:10" x14ac:dyDescent="0.45">
      <c r="I321">
        <v>1595</v>
      </c>
      <c r="J321">
        <f>INDEX(C:C,MATCH(I321,A:A,1))</f>
        <v>25</v>
      </c>
    </row>
    <row r="322" spans="9:10" x14ac:dyDescent="0.45">
      <c r="I322">
        <v>1600</v>
      </c>
      <c r="J322">
        <f>INDEX(C:C,MATCH(I322,A:A,1))</f>
        <v>25</v>
      </c>
    </row>
    <row r="323" spans="9:10" x14ac:dyDescent="0.45">
      <c r="I323">
        <v>1605</v>
      </c>
      <c r="J323">
        <f>INDEX(C:C,MATCH(I323,A:A,1))</f>
        <v>25</v>
      </c>
    </row>
    <row r="324" spans="9:10" x14ac:dyDescent="0.45">
      <c r="I324">
        <v>1610</v>
      </c>
      <c r="J324">
        <f>INDEX(C:C,MATCH(I324,A:A,1))</f>
        <v>25</v>
      </c>
    </row>
    <row r="325" spans="9:10" x14ac:dyDescent="0.45">
      <c r="I325">
        <v>1615</v>
      </c>
      <c r="J325">
        <f>INDEX(C:C,MATCH(I325,A:A,1))</f>
        <v>25</v>
      </c>
    </row>
    <row r="326" spans="9:10" x14ac:dyDescent="0.45">
      <c r="I326">
        <v>1620</v>
      </c>
      <c r="J326">
        <f>INDEX(C:C,MATCH(I326,A:A,1))</f>
        <v>25</v>
      </c>
    </row>
    <row r="327" spans="9:10" x14ac:dyDescent="0.45">
      <c r="I327">
        <v>1625</v>
      </c>
      <c r="J327">
        <f>INDEX(C:C,MATCH(I327,A:A,1))</f>
        <v>25</v>
      </c>
    </row>
    <row r="328" spans="9:10" x14ac:dyDescent="0.45">
      <c r="I328">
        <v>1630</v>
      </c>
      <c r="J328">
        <f>INDEX(C:C,MATCH(I328,A:A,1))</f>
        <v>25</v>
      </c>
    </row>
    <row r="329" spans="9:10" x14ac:dyDescent="0.45">
      <c r="I329">
        <v>1635</v>
      </c>
      <c r="J329">
        <f>INDEX(C:C,MATCH(I329,A:A,1))</f>
        <v>25</v>
      </c>
    </row>
    <row r="330" spans="9:10" x14ac:dyDescent="0.45">
      <c r="I330">
        <v>1640</v>
      </c>
      <c r="J330">
        <f>INDEX(C:C,MATCH(I330,A:A,1))</f>
        <v>25</v>
      </c>
    </row>
    <row r="331" spans="9:10" x14ac:dyDescent="0.45">
      <c r="I331">
        <v>1645</v>
      </c>
      <c r="J331">
        <f>INDEX(C:C,MATCH(I331,A:A,1))</f>
        <v>25</v>
      </c>
    </row>
    <row r="332" spans="9:10" x14ac:dyDescent="0.45">
      <c r="I332">
        <v>1650</v>
      </c>
      <c r="J332">
        <f>INDEX(C:C,MATCH(I332,A:A,1))</f>
        <v>25</v>
      </c>
    </row>
    <row r="333" spans="9:10" x14ac:dyDescent="0.45">
      <c r="I333">
        <v>1655</v>
      </c>
      <c r="J333">
        <f>INDEX(C:C,MATCH(I333,A:A,1))</f>
        <v>25</v>
      </c>
    </row>
    <row r="334" spans="9:10" x14ac:dyDescent="0.45">
      <c r="I334">
        <v>1660</v>
      </c>
      <c r="J334">
        <f>INDEX(C:C,MATCH(I334,A:A,1))</f>
        <v>25</v>
      </c>
    </row>
    <row r="335" spans="9:10" x14ac:dyDescent="0.45">
      <c r="I335">
        <v>1665</v>
      </c>
      <c r="J335">
        <f>INDEX(C:C,MATCH(I335,A:A,1))</f>
        <v>25</v>
      </c>
    </row>
    <row r="336" spans="9:10" x14ac:dyDescent="0.45">
      <c r="I336">
        <v>1670</v>
      </c>
      <c r="J336">
        <f>INDEX(C:C,MATCH(I336,A:A,1))</f>
        <v>25</v>
      </c>
    </row>
    <row r="337" spans="9:10" x14ac:dyDescent="0.45">
      <c r="I337">
        <v>1675</v>
      </c>
      <c r="J337">
        <f>INDEX(C:C,MATCH(I337,A:A,1))</f>
        <v>25</v>
      </c>
    </row>
    <row r="338" spans="9:10" x14ac:dyDescent="0.45">
      <c r="I338">
        <v>1680</v>
      </c>
      <c r="J338">
        <f>INDEX(C:C,MATCH(I338,A:A,1))</f>
        <v>25</v>
      </c>
    </row>
    <row r="339" spans="9:10" x14ac:dyDescent="0.45">
      <c r="I339">
        <v>1685</v>
      </c>
      <c r="J339">
        <f>INDEX(C:C,MATCH(I339,A:A,1))</f>
        <v>25</v>
      </c>
    </row>
    <row r="340" spans="9:10" x14ac:dyDescent="0.45">
      <c r="I340">
        <v>1690</v>
      </c>
      <c r="J340">
        <f>INDEX(C:C,MATCH(I340,A:A,1))</f>
        <v>25</v>
      </c>
    </row>
    <row r="341" spans="9:10" x14ac:dyDescent="0.45">
      <c r="I341">
        <v>1695</v>
      </c>
      <c r="J341">
        <f>INDEX(C:C,MATCH(I341,A:A,1))</f>
        <v>25</v>
      </c>
    </row>
    <row r="342" spans="9:10" x14ac:dyDescent="0.45">
      <c r="I342">
        <v>1700</v>
      </c>
      <c r="J342">
        <f>INDEX(C:C,MATCH(I342,A:A,1))</f>
        <v>25</v>
      </c>
    </row>
    <row r="343" spans="9:10" x14ac:dyDescent="0.45">
      <c r="I343">
        <v>1705</v>
      </c>
      <c r="J343">
        <f>INDEX(C:C,MATCH(I343,A:A,1))</f>
        <v>25</v>
      </c>
    </row>
    <row r="344" spans="9:10" x14ac:dyDescent="0.45">
      <c r="I344">
        <v>1710</v>
      </c>
      <c r="J344">
        <f>INDEX(C:C,MATCH(I344,A:A,1))</f>
        <v>25</v>
      </c>
    </row>
    <row r="345" spans="9:10" x14ac:dyDescent="0.45">
      <c r="I345">
        <v>1715</v>
      </c>
      <c r="J345">
        <f>INDEX(C:C,MATCH(I345,A:A,1))</f>
        <v>25</v>
      </c>
    </row>
    <row r="346" spans="9:10" x14ac:dyDescent="0.45">
      <c r="I346">
        <v>1720</v>
      </c>
      <c r="J346">
        <f>INDEX(C:C,MATCH(I346,A:A,1))</f>
        <v>25</v>
      </c>
    </row>
    <row r="347" spans="9:10" x14ac:dyDescent="0.45">
      <c r="I347">
        <v>1725</v>
      </c>
      <c r="J347">
        <f>INDEX(C:C,MATCH(I347,A:A,1))</f>
        <v>25</v>
      </c>
    </row>
    <row r="348" spans="9:10" x14ac:dyDescent="0.45">
      <c r="I348">
        <v>1730</v>
      </c>
      <c r="J348">
        <f>INDEX(C:C,MATCH(I348,A:A,1))</f>
        <v>25</v>
      </c>
    </row>
    <row r="349" spans="9:10" x14ac:dyDescent="0.45">
      <c r="I349">
        <v>1735</v>
      </c>
      <c r="J349">
        <f>INDEX(C:C,MATCH(I349,A:A,1))</f>
        <v>25</v>
      </c>
    </row>
    <row r="350" spans="9:10" x14ac:dyDescent="0.45">
      <c r="I350">
        <v>1740</v>
      </c>
      <c r="J350">
        <f>INDEX(C:C,MATCH(I350,A:A,1))</f>
        <v>25</v>
      </c>
    </row>
    <row r="351" spans="9:10" x14ac:dyDescent="0.45">
      <c r="I351">
        <v>1745</v>
      </c>
      <c r="J351">
        <f>INDEX(C:C,MATCH(I351,A:A,1))</f>
        <v>25</v>
      </c>
    </row>
    <row r="352" spans="9:10" x14ac:dyDescent="0.45">
      <c r="I352">
        <v>1750</v>
      </c>
      <c r="J352">
        <f>INDEX(C:C,MATCH(I352,A:A,1))</f>
        <v>25</v>
      </c>
    </row>
    <row r="353" spans="9:10" x14ac:dyDescent="0.45">
      <c r="I353">
        <v>1755</v>
      </c>
      <c r="J353">
        <f>INDEX(C:C,MATCH(I353,A:A,1))</f>
        <v>25</v>
      </c>
    </row>
    <row r="354" spans="9:10" x14ac:dyDescent="0.45">
      <c r="I354">
        <v>1760</v>
      </c>
      <c r="J354">
        <f>INDEX(C:C,MATCH(I354,A:A,1))</f>
        <v>25</v>
      </c>
    </row>
    <row r="355" spans="9:10" x14ac:dyDescent="0.45">
      <c r="I355">
        <v>1765</v>
      </c>
      <c r="J355">
        <f>INDEX(C:C,MATCH(I355,A:A,1))</f>
        <v>25</v>
      </c>
    </row>
    <row r="356" spans="9:10" x14ac:dyDescent="0.45">
      <c r="I356">
        <v>1770</v>
      </c>
      <c r="J356">
        <f>INDEX(C:C,MATCH(I356,A:A,1))</f>
        <v>30</v>
      </c>
    </row>
    <row r="357" spans="9:10" x14ac:dyDescent="0.45">
      <c r="I357">
        <v>1775</v>
      </c>
      <c r="J357">
        <f>INDEX(C:C,MATCH(I357,A:A,1))</f>
        <v>30</v>
      </c>
    </row>
    <row r="358" spans="9:10" x14ac:dyDescent="0.45">
      <c r="I358">
        <v>1780</v>
      </c>
      <c r="J358">
        <f>INDEX(C:C,MATCH(I358,A:A,1))</f>
        <v>30</v>
      </c>
    </row>
    <row r="359" spans="9:10" x14ac:dyDescent="0.45">
      <c r="I359">
        <v>1785</v>
      </c>
      <c r="J359">
        <f>INDEX(C:C,MATCH(I359,A:A,1))</f>
        <v>30</v>
      </c>
    </row>
    <row r="360" spans="9:10" x14ac:dyDescent="0.45">
      <c r="I360">
        <v>1790</v>
      </c>
      <c r="J360">
        <f>INDEX(C:C,MATCH(I360,A:A,1))</f>
        <v>30</v>
      </c>
    </row>
    <row r="361" spans="9:10" x14ac:dyDescent="0.45">
      <c r="I361">
        <v>1795</v>
      </c>
      <c r="J361">
        <f>INDEX(C:C,MATCH(I361,A:A,1))</f>
        <v>30</v>
      </c>
    </row>
    <row r="362" spans="9:10" x14ac:dyDescent="0.45">
      <c r="I362">
        <v>1800</v>
      </c>
      <c r="J362">
        <f>INDEX(C:C,MATCH(I362,A:A,1))</f>
        <v>30</v>
      </c>
    </row>
    <row r="363" spans="9:10" x14ac:dyDescent="0.45">
      <c r="I363">
        <v>1805</v>
      </c>
      <c r="J363">
        <f>INDEX(C:C,MATCH(I363,A:A,1))</f>
        <v>30</v>
      </c>
    </row>
    <row r="364" spans="9:10" x14ac:dyDescent="0.45">
      <c r="I364">
        <v>1810</v>
      </c>
      <c r="J364">
        <f>INDEX(C:C,MATCH(I364,A:A,1))</f>
        <v>30</v>
      </c>
    </row>
    <row r="365" spans="9:10" x14ac:dyDescent="0.45">
      <c r="I365">
        <v>1815</v>
      </c>
      <c r="J365">
        <f>INDEX(C:C,MATCH(I365,A:A,1))</f>
        <v>30</v>
      </c>
    </row>
    <row r="366" spans="9:10" x14ac:dyDescent="0.45">
      <c r="I366">
        <v>1820</v>
      </c>
      <c r="J366">
        <f>INDEX(C:C,MATCH(I366,A:A,1))</f>
        <v>30</v>
      </c>
    </row>
    <row r="367" spans="9:10" x14ac:dyDescent="0.45">
      <c r="I367">
        <v>1825</v>
      </c>
      <c r="J367">
        <f>INDEX(C:C,MATCH(I367,A:A,1))</f>
        <v>30</v>
      </c>
    </row>
    <row r="368" spans="9:10" x14ac:dyDescent="0.45">
      <c r="I368">
        <v>1830</v>
      </c>
      <c r="J368">
        <f>INDEX(C:C,MATCH(I368,A:A,1))</f>
        <v>30</v>
      </c>
    </row>
    <row r="369" spans="9:10" x14ac:dyDescent="0.45">
      <c r="I369">
        <v>1835</v>
      </c>
      <c r="J369">
        <f>INDEX(C:C,MATCH(I369,A:A,1))</f>
        <v>30</v>
      </c>
    </row>
    <row r="370" spans="9:10" x14ac:dyDescent="0.45">
      <c r="I370">
        <v>1840</v>
      </c>
      <c r="J370">
        <f>INDEX(C:C,MATCH(I370,A:A,1))</f>
        <v>30</v>
      </c>
    </row>
    <row r="371" spans="9:10" x14ac:dyDescent="0.45">
      <c r="I371">
        <v>1845</v>
      </c>
      <c r="J371">
        <f>INDEX(C:C,MATCH(I371,A:A,1))</f>
        <v>30</v>
      </c>
    </row>
    <row r="372" spans="9:10" x14ac:dyDescent="0.45">
      <c r="I372">
        <v>1850</v>
      </c>
      <c r="J372">
        <f>INDEX(C:C,MATCH(I372,A:A,1))</f>
        <v>30</v>
      </c>
    </row>
    <row r="373" spans="9:10" x14ac:dyDescent="0.45">
      <c r="I373">
        <v>1855</v>
      </c>
      <c r="J373">
        <f>INDEX(C:C,MATCH(I373,A:A,1))</f>
        <v>30</v>
      </c>
    </row>
    <row r="374" spans="9:10" x14ac:dyDescent="0.45">
      <c r="I374">
        <v>1860</v>
      </c>
      <c r="J374">
        <f>INDEX(C:C,MATCH(I374,A:A,1))</f>
        <v>30</v>
      </c>
    </row>
    <row r="375" spans="9:10" x14ac:dyDescent="0.45">
      <c r="I375">
        <v>1865</v>
      </c>
      <c r="J375">
        <f>INDEX(C:C,MATCH(I375,A:A,1))</f>
        <v>30</v>
      </c>
    </row>
    <row r="376" spans="9:10" x14ac:dyDescent="0.45">
      <c r="I376">
        <v>1870</v>
      </c>
      <c r="J376">
        <f>INDEX(C:C,MATCH(I376,A:A,1))</f>
        <v>30</v>
      </c>
    </row>
    <row r="377" spans="9:10" x14ac:dyDescent="0.45">
      <c r="I377">
        <v>1875</v>
      </c>
      <c r="J377">
        <f>INDEX(C:C,MATCH(I377,A:A,1))</f>
        <v>30</v>
      </c>
    </row>
    <row r="378" spans="9:10" x14ac:dyDescent="0.45">
      <c r="I378">
        <v>1880</v>
      </c>
      <c r="J378">
        <f>INDEX(C:C,MATCH(I378,A:A,1))</f>
        <v>30</v>
      </c>
    </row>
    <row r="379" spans="9:10" x14ac:dyDescent="0.45">
      <c r="I379">
        <v>1885</v>
      </c>
      <c r="J379">
        <f>INDEX(C:C,MATCH(I379,A:A,1))</f>
        <v>30</v>
      </c>
    </row>
    <row r="380" spans="9:10" x14ac:dyDescent="0.45">
      <c r="I380">
        <v>1890</v>
      </c>
      <c r="J380">
        <f>INDEX(C:C,MATCH(I380,A:A,1))</f>
        <v>30</v>
      </c>
    </row>
    <row r="381" spans="9:10" x14ac:dyDescent="0.45">
      <c r="I381">
        <v>1895</v>
      </c>
      <c r="J381">
        <f>INDEX(C:C,MATCH(I381,A:A,1))</f>
        <v>30</v>
      </c>
    </row>
    <row r="382" spans="9:10" x14ac:dyDescent="0.45">
      <c r="I382">
        <v>1900</v>
      </c>
      <c r="J382">
        <f>INDEX(C:C,MATCH(I382,A:A,1))</f>
        <v>30</v>
      </c>
    </row>
    <row r="383" spans="9:10" x14ac:dyDescent="0.45">
      <c r="I383">
        <v>1905</v>
      </c>
      <c r="J383">
        <f>INDEX(C:C,MATCH(I383,A:A,1))</f>
        <v>30</v>
      </c>
    </row>
    <row r="384" spans="9:10" x14ac:dyDescent="0.45">
      <c r="I384">
        <v>1910</v>
      </c>
      <c r="J384">
        <f>INDEX(C:C,MATCH(I384,A:A,1))</f>
        <v>30</v>
      </c>
    </row>
    <row r="385" spans="9:10" x14ac:dyDescent="0.45">
      <c r="I385">
        <v>1915</v>
      </c>
      <c r="J385">
        <f>INDEX(C:C,MATCH(I385,A:A,1))</f>
        <v>30</v>
      </c>
    </row>
    <row r="386" spans="9:10" x14ac:dyDescent="0.45">
      <c r="I386">
        <v>1920</v>
      </c>
      <c r="J386">
        <f>INDEX(C:C,MATCH(I386,A:A,1))</f>
        <v>30</v>
      </c>
    </row>
    <row r="387" spans="9:10" x14ac:dyDescent="0.45">
      <c r="I387">
        <v>1925</v>
      </c>
      <c r="J387">
        <f>INDEX(C:C,MATCH(I387,A:A,1))</f>
        <v>30</v>
      </c>
    </row>
    <row r="388" spans="9:10" x14ac:dyDescent="0.45">
      <c r="I388">
        <v>1930</v>
      </c>
      <c r="J388">
        <f>INDEX(C:C,MATCH(I388,A:A,1))</f>
        <v>30</v>
      </c>
    </row>
    <row r="389" spans="9:10" x14ac:dyDescent="0.45">
      <c r="I389">
        <v>1935</v>
      </c>
      <c r="J389">
        <f>INDEX(C:C,MATCH(I389,A:A,1))</f>
        <v>30</v>
      </c>
    </row>
    <row r="390" spans="9:10" x14ac:dyDescent="0.45">
      <c r="I390">
        <v>1940</v>
      </c>
      <c r="J390">
        <f>INDEX(C:C,MATCH(I390,A:A,1))</f>
        <v>30</v>
      </c>
    </row>
    <row r="391" spans="9:10" x14ac:dyDescent="0.45">
      <c r="I391">
        <v>1945</v>
      </c>
      <c r="J391">
        <f>INDEX(C:C,MATCH(I391,A:A,1))</f>
        <v>30</v>
      </c>
    </row>
    <row r="392" spans="9:10" x14ac:dyDescent="0.45">
      <c r="I392">
        <v>1950</v>
      </c>
      <c r="J392">
        <f>INDEX(C:C,MATCH(I392,A:A,1))</f>
        <v>30</v>
      </c>
    </row>
    <row r="393" spans="9:10" x14ac:dyDescent="0.45">
      <c r="I393">
        <v>1955</v>
      </c>
      <c r="J393">
        <f>INDEX(C:C,MATCH(I393,A:A,1))</f>
        <v>30</v>
      </c>
    </row>
    <row r="394" spans="9:10" x14ac:dyDescent="0.45">
      <c r="I394">
        <v>1960</v>
      </c>
      <c r="J394">
        <f>INDEX(C:C,MATCH(I394,A:A,1))</f>
        <v>30</v>
      </c>
    </row>
    <row r="395" spans="9:10" x14ac:dyDescent="0.45">
      <c r="I395">
        <v>1965</v>
      </c>
      <c r="J395">
        <f>INDEX(C:C,MATCH(I395,A:A,1))</f>
        <v>30</v>
      </c>
    </row>
    <row r="396" spans="9:10" x14ac:dyDescent="0.45">
      <c r="I396">
        <v>1970</v>
      </c>
      <c r="J396">
        <f>INDEX(C:C,MATCH(I396,A:A,1))</f>
        <v>30</v>
      </c>
    </row>
    <row r="397" spans="9:10" x14ac:dyDescent="0.45">
      <c r="I397">
        <v>1975</v>
      </c>
      <c r="J397">
        <f>INDEX(C:C,MATCH(I397,A:A,1))</f>
        <v>30</v>
      </c>
    </row>
    <row r="398" spans="9:10" x14ac:dyDescent="0.45">
      <c r="I398">
        <v>1980</v>
      </c>
      <c r="J398">
        <f>INDEX(C:C,MATCH(I398,A:A,1))</f>
        <v>30</v>
      </c>
    </row>
    <row r="399" spans="9:10" x14ac:dyDescent="0.45">
      <c r="I399">
        <v>1985</v>
      </c>
      <c r="J399">
        <f>INDEX(C:C,MATCH(I399,A:A,1))</f>
        <v>30</v>
      </c>
    </row>
    <row r="400" spans="9:10" x14ac:dyDescent="0.45">
      <c r="I400">
        <v>1990</v>
      </c>
      <c r="J400">
        <f>INDEX(C:C,MATCH(I400,A:A,1))</f>
        <v>30</v>
      </c>
    </row>
    <row r="401" spans="9:10" x14ac:dyDescent="0.45">
      <c r="I401">
        <v>1995</v>
      </c>
      <c r="J401">
        <f>INDEX(C:C,MATCH(I401,A:A,1))</f>
        <v>30</v>
      </c>
    </row>
    <row r="402" spans="9:10" x14ac:dyDescent="0.45">
      <c r="I402">
        <v>2000</v>
      </c>
      <c r="J402">
        <f>INDEX(C:C,MATCH(I402,A:A,1))</f>
        <v>30</v>
      </c>
    </row>
    <row r="403" spans="9:10" x14ac:dyDescent="0.45">
      <c r="I403">
        <v>2005</v>
      </c>
      <c r="J403">
        <f>INDEX(C:C,MATCH(I403,A:A,1))</f>
        <v>30</v>
      </c>
    </row>
    <row r="404" spans="9:10" x14ac:dyDescent="0.45">
      <c r="I404">
        <v>2010</v>
      </c>
      <c r="J404">
        <f>INDEX(C:C,MATCH(I404,A:A,1))</f>
        <v>30</v>
      </c>
    </row>
    <row r="405" spans="9:10" x14ac:dyDescent="0.45">
      <c r="I405">
        <v>2015</v>
      </c>
      <c r="J405">
        <f>INDEX(C:C,MATCH(I405,A:A,1))</f>
        <v>30</v>
      </c>
    </row>
    <row r="406" spans="9:10" x14ac:dyDescent="0.45">
      <c r="I406">
        <v>2020</v>
      </c>
      <c r="J406">
        <f>INDEX(C:C,MATCH(I406,A:A,1))</f>
        <v>30</v>
      </c>
    </row>
    <row r="407" spans="9:10" x14ac:dyDescent="0.45">
      <c r="I407">
        <v>2025</v>
      </c>
      <c r="J407">
        <f>INDEX(C:C,MATCH(I407,A:A,1))</f>
        <v>30</v>
      </c>
    </row>
    <row r="408" spans="9:10" x14ac:dyDescent="0.45">
      <c r="I408">
        <v>2030</v>
      </c>
      <c r="J408">
        <f>INDEX(C:C,MATCH(I408,A:A,1))</f>
        <v>30</v>
      </c>
    </row>
    <row r="409" spans="9:10" x14ac:dyDescent="0.45">
      <c r="I409">
        <v>2035</v>
      </c>
      <c r="J409">
        <f>INDEX(C:C,MATCH(I409,A:A,1))</f>
        <v>30</v>
      </c>
    </row>
    <row r="410" spans="9:10" x14ac:dyDescent="0.45">
      <c r="I410">
        <v>2040</v>
      </c>
      <c r="J410">
        <f>INDEX(C:C,MATCH(I410,A:A,1))</f>
        <v>30</v>
      </c>
    </row>
    <row r="411" spans="9:10" x14ac:dyDescent="0.45">
      <c r="I411">
        <v>2045</v>
      </c>
      <c r="J411">
        <f>INDEX(C:C,MATCH(I411,A:A,1))</f>
        <v>30</v>
      </c>
    </row>
    <row r="412" spans="9:10" x14ac:dyDescent="0.45">
      <c r="I412">
        <v>2050</v>
      </c>
      <c r="J412">
        <f>INDEX(C:C,MATCH(I412,A:A,1))</f>
        <v>30</v>
      </c>
    </row>
    <row r="413" spans="9:10" x14ac:dyDescent="0.45">
      <c r="I413">
        <v>2055</v>
      </c>
      <c r="J413">
        <f>INDEX(C:C,MATCH(I413,A:A,1))</f>
        <v>30</v>
      </c>
    </row>
    <row r="414" spans="9:10" x14ac:dyDescent="0.45">
      <c r="I414">
        <v>2060</v>
      </c>
      <c r="J414">
        <f>INDEX(C:C,MATCH(I414,A:A,1))</f>
        <v>30</v>
      </c>
    </row>
    <row r="415" spans="9:10" x14ac:dyDescent="0.45">
      <c r="I415">
        <v>2065</v>
      </c>
      <c r="J415">
        <f>INDEX(C:C,MATCH(I415,A:A,1))</f>
        <v>30</v>
      </c>
    </row>
    <row r="416" spans="9:10" x14ac:dyDescent="0.45">
      <c r="I416">
        <v>2070</v>
      </c>
      <c r="J416">
        <f>INDEX(C:C,MATCH(I416,A:A,1))</f>
        <v>35</v>
      </c>
    </row>
    <row r="417" spans="9:10" x14ac:dyDescent="0.45">
      <c r="I417">
        <v>2075</v>
      </c>
      <c r="J417">
        <f>INDEX(C:C,MATCH(I417,A:A,1))</f>
        <v>35</v>
      </c>
    </row>
    <row r="418" spans="9:10" x14ac:dyDescent="0.45">
      <c r="I418">
        <v>2080</v>
      </c>
      <c r="J418">
        <f>INDEX(C:C,MATCH(I418,A:A,1))</f>
        <v>35</v>
      </c>
    </row>
    <row r="419" spans="9:10" x14ac:dyDescent="0.45">
      <c r="I419">
        <v>2085</v>
      </c>
      <c r="J419">
        <f>INDEX(C:C,MATCH(I419,A:A,1))</f>
        <v>35</v>
      </c>
    </row>
    <row r="420" spans="9:10" x14ac:dyDescent="0.45">
      <c r="I420">
        <v>2090</v>
      </c>
      <c r="J420">
        <f>INDEX(C:C,MATCH(I420,A:A,1))</f>
        <v>35</v>
      </c>
    </row>
    <row r="421" spans="9:10" x14ac:dyDescent="0.45">
      <c r="I421">
        <v>2095</v>
      </c>
      <c r="J421">
        <f>INDEX(C:C,MATCH(I421,A:A,1))</f>
        <v>35</v>
      </c>
    </row>
    <row r="422" spans="9:10" x14ac:dyDescent="0.45">
      <c r="I422">
        <v>2100</v>
      </c>
      <c r="J422">
        <f>INDEX(C:C,MATCH(I422,A:A,1))</f>
        <v>35</v>
      </c>
    </row>
    <row r="423" spans="9:10" x14ac:dyDescent="0.45">
      <c r="I423">
        <v>2105</v>
      </c>
      <c r="J423">
        <f>INDEX(C:C,MATCH(I423,A:A,1))</f>
        <v>35</v>
      </c>
    </row>
    <row r="424" spans="9:10" x14ac:dyDescent="0.45">
      <c r="I424">
        <v>2110</v>
      </c>
      <c r="J424">
        <f>INDEX(C:C,MATCH(I424,A:A,1))</f>
        <v>35</v>
      </c>
    </row>
    <row r="425" spans="9:10" x14ac:dyDescent="0.45">
      <c r="I425">
        <v>2115</v>
      </c>
      <c r="J425">
        <f>INDEX(C:C,MATCH(I425,A:A,1))</f>
        <v>35</v>
      </c>
    </row>
    <row r="426" spans="9:10" x14ac:dyDescent="0.45">
      <c r="I426">
        <v>2120</v>
      </c>
      <c r="J426">
        <f>INDEX(C:C,MATCH(I426,A:A,1))</f>
        <v>35</v>
      </c>
    </row>
    <row r="427" spans="9:10" x14ac:dyDescent="0.45">
      <c r="I427">
        <v>2125</v>
      </c>
      <c r="J427">
        <f>INDEX(C:C,MATCH(I427,A:A,1))</f>
        <v>35</v>
      </c>
    </row>
    <row r="428" spans="9:10" x14ac:dyDescent="0.45">
      <c r="I428">
        <v>2130</v>
      </c>
      <c r="J428">
        <f>INDEX(C:C,MATCH(I428,A:A,1))</f>
        <v>35</v>
      </c>
    </row>
    <row r="429" spans="9:10" x14ac:dyDescent="0.45">
      <c r="I429">
        <v>2135</v>
      </c>
      <c r="J429">
        <f>INDEX(C:C,MATCH(I429,A:A,1))</f>
        <v>35</v>
      </c>
    </row>
    <row r="430" spans="9:10" x14ac:dyDescent="0.45">
      <c r="I430">
        <v>2140</v>
      </c>
      <c r="J430">
        <f>INDEX(C:C,MATCH(I430,A:A,1))</f>
        <v>35</v>
      </c>
    </row>
    <row r="431" spans="9:10" x14ac:dyDescent="0.45">
      <c r="I431">
        <v>2145</v>
      </c>
      <c r="J431">
        <f>INDEX(C:C,MATCH(I431,A:A,1))</f>
        <v>35</v>
      </c>
    </row>
    <row r="432" spans="9:10" x14ac:dyDescent="0.45">
      <c r="I432">
        <v>2150</v>
      </c>
      <c r="J432">
        <f>INDEX(C:C,MATCH(I432,A:A,1))</f>
        <v>35</v>
      </c>
    </row>
    <row r="433" spans="9:10" x14ac:dyDescent="0.45">
      <c r="I433">
        <v>2155</v>
      </c>
      <c r="J433">
        <f>INDEX(C:C,MATCH(I433,A:A,1))</f>
        <v>35</v>
      </c>
    </row>
    <row r="434" spans="9:10" x14ac:dyDescent="0.45">
      <c r="I434">
        <v>2160</v>
      </c>
      <c r="J434">
        <f>INDEX(C:C,MATCH(I434,A:A,1))</f>
        <v>35</v>
      </c>
    </row>
    <row r="435" spans="9:10" x14ac:dyDescent="0.45">
      <c r="I435">
        <v>2165</v>
      </c>
      <c r="J435">
        <f>INDEX(C:C,MATCH(I435,A:A,1))</f>
        <v>35</v>
      </c>
    </row>
    <row r="436" spans="9:10" x14ac:dyDescent="0.45">
      <c r="I436">
        <v>2170</v>
      </c>
      <c r="J436">
        <f>INDEX(C:C,MATCH(I436,A:A,1))</f>
        <v>35</v>
      </c>
    </row>
    <row r="437" spans="9:10" x14ac:dyDescent="0.45">
      <c r="I437">
        <v>2175</v>
      </c>
      <c r="J437">
        <f>INDEX(C:C,MATCH(I437,A:A,1))</f>
        <v>35</v>
      </c>
    </row>
    <row r="438" spans="9:10" x14ac:dyDescent="0.45">
      <c r="I438">
        <v>2180</v>
      </c>
      <c r="J438">
        <f>INDEX(C:C,MATCH(I438,A:A,1))</f>
        <v>35</v>
      </c>
    </row>
    <row r="439" spans="9:10" x14ac:dyDescent="0.45">
      <c r="I439">
        <v>2185</v>
      </c>
      <c r="J439">
        <f>INDEX(C:C,MATCH(I439,A:A,1))</f>
        <v>35</v>
      </c>
    </row>
    <row r="440" spans="9:10" x14ac:dyDescent="0.45">
      <c r="I440">
        <v>2190</v>
      </c>
      <c r="J440">
        <f>INDEX(C:C,MATCH(I440,A:A,1))</f>
        <v>35</v>
      </c>
    </row>
    <row r="441" spans="9:10" x14ac:dyDescent="0.45">
      <c r="I441">
        <v>2195</v>
      </c>
      <c r="J441">
        <f>INDEX(C:C,MATCH(I441,A:A,1))</f>
        <v>35</v>
      </c>
    </row>
    <row r="442" spans="9:10" x14ac:dyDescent="0.45">
      <c r="I442">
        <v>2200</v>
      </c>
      <c r="J442">
        <f>INDEX(C:C,MATCH(I442,A:A,1))</f>
        <v>35</v>
      </c>
    </row>
    <row r="443" spans="9:10" x14ac:dyDescent="0.45">
      <c r="I443">
        <v>2205</v>
      </c>
      <c r="J443">
        <f>INDEX(C:C,MATCH(I443,A:A,1))</f>
        <v>35</v>
      </c>
    </row>
    <row r="444" spans="9:10" x14ac:dyDescent="0.45">
      <c r="I444">
        <v>2210</v>
      </c>
      <c r="J444">
        <f>INDEX(C:C,MATCH(I444,A:A,1))</f>
        <v>35</v>
      </c>
    </row>
    <row r="445" spans="9:10" x14ac:dyDescent="0.45">
      <c r="I445">
        <v>2215</v>
      </c>
      <c r="J445">
        <f>INDEX(C:C,MATCH(I445,A:A,1))</f>
        <v>35</v>
      </c>
    </row>
    <row r="446" spans="9:10" x14ac:dyDescent="0.45">
      <c r="I446">
        <v>2220</v>
      </c>
      <c r="J446">
        <f>INDEX(C:C,MATCH(I446,A:A,1))</f>
        <v>35</v>
      </c>
    </row>
    <row r="447" spans="9:10" x14ac:dyDescent="0.45">
      <c r="I447">
        <v>2225</v>
      </c>
      <c r="J447">
        <f>INDEX(C:C,MATCH(I447,A:A,1))</f>
        <v>35</v>
      </c>
    </row>
    <row r="448" spans="9:10" x14ac:dyDescent="0.45">
      <c r="I448">
        <v>2230</v>
      </c>
      <c r="J448">
        <f>INDEX(C:C,MATCH(I448,A:A,1))</f>
        <v>35</v>
      </c>
    </row>
    <row r="449" spans="9:10" x14ac:dyDescent="0.45">
      <c r="I449">
        <v>2235</v>
      </c>
      <c r="J449">
        <f>INDEX(C:C,MATCH(I449,A:A,1))</f>
        <v>35</v>
      </c>
    </row>
    <row r="450" spans="9:10" x14ac:dyDescent="0.45">
      <c r="I450">
        <v>2240</v>
      </c>
      <c r="J450">
        <f>INDEX(C:C,MATCH(I450,A:A,1))</f>
        <v>35</v>
      </c>
    </row>
    <row r="451" spans="9:10" x14ac:dyDescent="0.45">
      <c r="I451">
        <v>2245</v>
      </c>
      <c r="J451">
        <f>INDEX(C:C,MATCH(I451,A:A,1))</f>
        <v>35</v>
      </c>
    </row>
    <row r="452" spans="9:10" x14ac:dyDescent="0.45">
      <c r="I452">
        <v>2250</v>
      </c>
      <c r="J452">
        <f>INDEX(C:C,MATCH(I452,A:A,1))</f>
        <v>35</v>
      </c>
    </row>
    <row r="453" spans="9:10" x14ac:dyDescent="0.45">
      <c r="I453">
        <v>2255</v>
      </c>
      <c r="J453">
        <f>INDEX(C:C,MATCH(I453,A:A,1))</f>
        <v>35</v>
      </c>
    </row>
    <row r="454" spans="9:10" x14ac:dyDescent="0.45">
      <c r="I454">
        <v>2260</v>
      </c>
      <c r="J454">
        <f>INDEX(C:C,MATCH(I454,A:A,1))</f>
        <v>35</v>
      </c>
    </row>
    <row r="455" spans="9:10" x14ac:dyDescent="0.45">
      <c r="I455">
        <v>2265</v>
      </c>
      <c r="J455">
        <f>INDEX(C:C,MATCH(I455,A:A,1))</f>
        <v>35</v>
      </c>
    </row>
    <row r="456" spans="9:10" x14ac:dyDescent="0.45">
      <c r="I456">
        <v>2270</v>
      </c>
      <c r="J456">
        <f>INDEX(C:C,MATCH(I456,A:A,1))</f>
        <v>35</v>
      </c>
    </row>
    <row r="457" spans="9:10" x14ac:dyDescent="0.45">
      <c r="I457">
        <v>2275</v>
      </c>
      <c r="J457">
        <f>INDEX(C:C,MATCH(I457,A:A,1))</f>
        <v>35</v>
      </c>
    </row>
    <row r="458" spans="9:10" x14ac:dyDescent="0.45">
      <c r="I458">
        <v>2280</v>
      </c>
      <c r="J458">
        <f>INDEX(C:C,MATCH(I458,A:A,1))</f>
        <v>35</v>
      </c>
    </row>
    <row r="459" spans="9:10" x14ac:dyDescent="0.45">
      <c r="I459">
        <v>2285</v>
      </c>
      <c r="J459">
        <f>INDEX(C:C,MATCH(I459,A:A,1))</f>
        <v>35</v>
      </c>
    </row>
    <row r="460" spans="9:10" x14ac:dyDescent="0.45">
      <c r="I460">
        <v>2290</v>
      </c>
      <c r="J460">
        <f>INDEX(C:C,MATCH(I460,A:A,1))</f>
        <v>35</v>
      </c>
    </row>
    <row r="461" spans="9:10" x14ac:dyDescent="0.45">
      <c r="I461">
        <v>2295</v>
      </c>
      <c r="J461">
        <f>INDEX(C:C,MATCH(I461,A:A,1))</f>
        <v>35</v>
      </c>
    </row>
    <row r="462" spans="9:10" x14ac:dyDescent="0.45">
      <c r="I462">
        <v>2300</v>
      </c>
      <c r="J462">
        <f>INDEX(C:C,MATCH(I462,A:A,1))</f>
        <v>35</v>
      </c>
    </row>
    <row r="463" spans="9:10" x14ac:dyDescent="0.45">
      <c r="I463">
        <v>2305</v>
      </c>
      <c r="J463">
        <f>INDEX(C:C,MATCH(I463,A:A,1))</f>
        <v>35</v>
      </c>
    </row>
    <row r="464" spans="9:10" x14ac:dyDescent="0.45">
      <c r="I464">
        <v>2310</v>
      </c>
      <c r="J464">
        <f>INDEX(C:C,MATCH(I464,A:A,1))</f>
        <v>35</v>
      </c>
    </row>
    <row r="465" spans="9:10" x14ac:dyDescent="0.45">
      <c r="I465">
        <v>2315</v>
      </c>
      <c r="J465">
        <f>INDEX(C:C,MATCH(I465,A:A,1))</f>
        <v>35</v>
      </c>
    </row>
    <row r="466" spans="9:10" x14ac:dyDescent="0.45">
      <c r="I466">
        <v>2320</v>
      </c>
      <c r="J466">
        <f>INDEX(C:C,MATCH(I466,A:A,1))</f>
        <v>35</v>
      </c>
    </row>
    <row r="467" spans="9:10" x14ac:dyDescent="0.45">
      <c r="I467">
        <v>2325</v>
      </c>
      <c r="J467">
        <f>INDEX(C:C,MATCH(I467,A:A,1))</f>
        <v>35</v>
      </c>
    </row>
    <row r="468" spans="9:10" x14ac:dyDescent="0.45">
      <c r="I468">
        <v>2330</v>
      </c>
      <c r="J468">
        <f>INDEX(C:C,MATCH(I468,A:A,1))</f>
        <v>35</v>
      </c>
    </row>
    <row r="469" spans="9:10" x14ac:dyDescent="0.45">
      <c r="I469">
        <v>2335</v>
      </c>
      <c r="J469">
        <f>INDEX(C:C,MATCH(I469,A:A,1))</f>
        <v>35</v>
      </c>
    </row>
    <row r="470" spans="9:10" x14ac:dyDescent="0.45">
      <c r="I470">
        <v>2340</v>
      </c>
      <c r="J470">
        <f>INDEX(C:C,MATCH(I470,A:A,1))</f>
        <v>35</v>
      </c>
    </row>
    <row r="471" spans="9:10" x14ac:dyDescent="0.45">
      <c r="I471">
        <v>2345</v>
      </c>
      <c r="J471">
        <f>INDEX(C:C,MATCH(I471,A:A,1))</f>
        <v>35</v>
      </c>
    </row>
    <row r="472" spans="9:10" x14ac:dyDescent="0.45">
      <c r="I472">
        <v>2350</v>
      </c>
      <c r="J472">
        <f>INDEX(C:C,MATCH(I472,A:A,1))</f>
        <v>35</v>
      </c>
    </row>
    <row r="473" spans="9:10" x14ac:dyDescent="0.45">
      <c r="I473">
        <v>2355</v>
      </c>
      <c r="J473">
        <f>INDEX(C:C,MATCH(I473,A:A,1))</f>
        <v>35</v>
      </c>
    </row>
    <row r="474" spans="9:10" x14ac:dyDescent="0.45">
      <c r="I474">
        <v>2360</v>
      </c>
      <c r="J474">
        <f>INDEX(C:C,MATCH(I474,A:A,1))</f>
        <v>35</v>
      </c>
    </row>
    <row r="475" spans="9:10" x14ac:dyDescent="0.45">
      <c r="I475">
        <v>2365</v>
      </c>
      <c r="J475">
        <f>INDEX(C:C,MATCH(I475,A:A,1))</f>
        <v>35</v>
      </c>
    </row>
    <row r="476" spans="9:10" x14ac:dyDescent="0.45">
      <c r="I476">
        <v>2370</v>
      </c>
      <c r="J476">
        <f>INDEX(C:C,MATCH(I476,A:A,1))</f>
        <v>40</v>
      </c>
    </row>
    <row r="477" spans="9:10" x14ac:dyDescent="0.45">
      <c r="I477">
        <v>2375</v>
      </c>
      <c r="J477">
        <f>INDEX(C:C,MATCH(I477,A:A,1))</f>
        <v>40</v>
      </c>
    </row>
    <row r="478" spans="9:10" x14ac:dyDescent="0.45">
      <c r="I478">
        <v>2380</v>
      </c>
      <c r="J478">
        <f>INDEX(C:C,MATCH(I478,A:A,1))</f>
        <v>40</v>
      </c>
    </row>
    <row r="479" spans="9:10" x14ac:dyDescent="0.45">
      <c r="I479">
        <v>2385</v>
      </c>
      <c r="J479">
        <f>INDEX(C:C,MATCH(I479,A:A,1))</f>
        <v>40</v>
      </c>
    </row>
    <row r="480" spans="9:10" x14ac:dyDescent="0.45">
      <c r="I480">
        <v>2390</v>
      </c>
      <c r="J480">
        <f>INDEX(C:C,MATCH(I480,A:A,1))</f>
        <v>40</v>
      </c>
    </row>
    <row r="481" spans="9:10" x14ac:dyDescent="0.45">
      <c r="I481">
        <v>2395</v>
      </c>
      <c r="J481">
        <f>INDEX(C:C,MATCH(I481,A:A,1))</f>
        <v>40</v>
      </c>
    </row>
    <row r="482" spans="9:10" x14ac:dyDescent="0.45">
      <c r="I482">
        <v>2400</v>
      </c>
      <c r="J482">
        <f>INDEX(C:C,MATCH(I482,A:A,1))</f>
        <v>40</v>
      </c>
    </row>
    <row r="483" spans="9:10" x14ac:dyDescent="0.45">
      <c r="I483">
        <v>2405</v>
      </c>
      <c r="J483">
        <f>INDEX(C:C,MATCH(I483,A:A,1))</f>
        <v>40</v>
      </c>
    </row>
    <row r="484" spans="9:10" x14ac:dyDescent="0.45">
      <c r="I484">
        <v>2410</v>
      </c>
      <c r="J484">
        <f>INDEX(C:C,MATCH(I484,A:A,1))</f>
        <v>40</v>
      </c>
    </row>
    <row r="485" spans="9:10" x14ac:dyDescent="0.45">
      <c r="I485">
        <v>2415</v>
      </c>
      <c r="J485">
        <f>INDEX(C:C,MATCH(I485,A:A,1))</f>
        <v>40</v>
      </c>
    </row>
    <row r="486" spans="9:10" x14ac:dyDescent="0.45">
      <c r="I486">
        <v>2420</v>
      </c>
      <c r="J486">
        <f>INDEX(C:C,MATCH(I486,A:A,1))</f>
        <v>40</v>
      </c>
    </row>
    <row r="487" spans="9:10" x14ac:dyDescent="0.45">
      <c r="I487">
        <v>2425</v>
      </c>
      <c r="J487">
        <f>INDEX(C:C,MATCH(I487,A:A,1))</f>
        <v>40</v>
      </c>
    </row>
    <row r="488" spans="9:10" x14ac:dyDescent="0.45">
      <c r="I488">
        <v>2430</v>
      </c>
      <c r="J488">
        <f>INDEX(C:C,MATCH(I488,A:A,1))</f>
        <v>40</v>
      </c>
    </row>
    <row r="489" spans="9:10" x14ac:dyDescent="0.45">
      <c r="I489">
        <v>2435</v>
      </c>
      <c r="J489">
        <f>INDEX(C:C,MATCH(I489,A:A,1))</f>
        <v>40</v>
      </c>
    </row>
    <row r="490" spans="9:10" x14ac:dyDescent="0.45">
      <c r="I490">
        <v>2440</v>
      </c>
      <c r="J490">
        <f>INDEX(C:C,MATCH(I490,A:A,1))</f>
        <v>40</v>
      </c>
    </row>
    <row r="491" spans="9:10" x14ac:dyDescent="0.45">
      <c r="I491">
        <v>2445</v>
      </c>
      <c r="J491">
        <f>INDEX(C:C,MATCH(I491,A:A,1))</f>
        <v>40</v>
      </c>
    </row>
    <row r="492" spans="9:10" x14ac:dyDescent="0.45">
      <c r="I492">
        <v>2450</v>
      </c>
      <c r="J492">
        <f>INDEX(C:C,MATCH(I492,A:A,1))</f>
        <v>40</v>
      </c>
    </row>
    <row r="493" spans="9:10" x14ac:dyDescent="0.45">
      <c r="I493">
        <v>2455</v>
      </c>
      <c r="J493">
        <f>INDEX(C:C,MATCH(I493,A:A,1))</f>
        <v>40</v>
      </c>
    </row>
    <row r="494" spans="9:10" x14ac:dyDescent="0.45">
      <c r="I494">
        <v>2460</v>
      </c>
      <c r="J494">
        <f>INDEX(C:C,MATCH(I494,A:A,1))</f>
        <v>40</v>
      </c>
    </row>
    <row r="495" spans="9:10" x14ac:dyDescent="0.45">
      <c r="I495">
        <v>2465</v>
      </c>
      <c r="J495">
        <f>INDEX(C:C,MATCH(I495,A:A,1))</f>
        <v>40</v>
      </c>
    </row>
    <row r="496" spans="9:10" x14ac:dyDescent="0.45">
      <c r="I496">
        <v>2470</v>
      </c>
      <c r="J496">
        <f>INDEX(C:C,MATCH(I496,A:A,1))</f>
        <v>40</v>
      </c>
    </row>
    <row r="497" spans="9:10" x14ac:dyDescent="0.45">
      <c r="I497">
        <v>2475</v>
      </c>
      <c r="J497">
        <f>INDEX(C:C,MATCH(I497,A:A,1))</f>
        <v>40</v>
      </c>
    </row>
    <row r="498" spans="9:10" x14ac:dyDescent="0.45">
      <c r="I498">
        <v>2480</v>
      </c>
      <c r="J498">
        <f>INDEX(C:C,MATCH(I498,A:A,1))</f>
        <v>40</v>
      </c>
    </row>
    <row r="499" spans="9:10" x14ac:dyDescent="0.45">
      <c r="I499">
        <v>2485</v>
      </c>
      <c r="J499">
        <f>INDEX(C:C,MATCH(I499,A:A,1))</f>
        <v>40</v>
      </c>
    </row>
    <row r="500" spans="9:10" x14ac:dyDescent="0.45">
      <c r="I500">
        <v>2490</v>
      </c>
      <c r="J500">
        <f>INDEX(C:C,MATCH(I500,A:A,1))</f>
        <v>40</v>
      </c>
    </row>
    <row r="501" spans="9:10" x14ac:dyDescent="0.45">
      <c r="I501">
        <v>2495</v>
      </c>
      <c r="J501">
        <f>INDEX(C:C,MATCH(I501,A:A,1))</f>
        <v>40</v>
      </c>
    </row>
    <row r="502" spans="9:10" x14ac:dyDescent="0.45">
      <c r="I502">
        <v>2500</v>
      </c>
      <c r="J502">
        <f>INDEX(C:C,MATCH(I502,A:A,1))</f>
        <v>40</v>
      </c>
    </row>
  </sheetData>
  <mergeCells count="4">
    <mergeCell ref="A2:B2"/>
    <mergeCell ref="C2:C3"/>
    <mergeCell ref="D2:G2"/>
    <mergeCell ref="N1:R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CodeGen"/>
  <dimension ref="A1:F7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" sqref="F1"/>
    </sheetView>
  </sheetViews>
  <sheetFormatPr defaultRowHeight="14.25" x14ac:dyDescent="0.45"/>
  <cols>
    <col min="1" max="1" width="9.06640625" customWidth="1"/>
    <col min="2" max="2" width="3.06640625" customWidth="1"/>
    <col min="3" max="3" width="21.86328125" bestFit="1" customWidth="1"/>
    <col min="4" max="4" width="3.06640625" customWidth="1"/>
    <col min="5" max="5" width="13.86328125" style="13" customWidth="1"/>
    <col min="6" max="6" width="14.06640625" customWidth="1"/>
  </cols>
  <sheetData>
    <row r="1" spans="1:6" x14ac:dyDescent="0.45">
      <c r="A1" t="s">
        <v>6</v>
      </c>
      <c r="C1" t="s">
        <v>10</v>
      </c>
      <c r="E1" s="14" t="s">
        <v>8</v>
      </c>
      <c r="F1" t="s">
        <v>9</v>
      </c>
    </row>
    <row r="2" spans="1:6" x14ac:dyDescent="0.45">
      <c r="A2" t="s">
        <v>7</v>
      </c>
      <c r="E2" s="15" t="str">
        <f>Concatenate_Column(E3:E70)</f>
        <v xml:space="preserve">buy_influence_drain_0010 = {
    icon = "gfx/interface/icons/modifiers/mod_country_previous_deals.dds"
    static_resource_minerals_add = -10
    static_resource_energy_add = -10
}
buy_influence_drain_0012 = {
    icon = "gfx/interface/icons/modifiers/mod_country_previous_deals.dds"
    static_resource_minerals_add = -12
    static_resource_energy_add = -12
}
buy_influence_drain_0014 = {
    icon = "gfx/interface/icons/modifiers/mod_country_previous_deals.dds"
    static_resource_minerals_add = -14
    static_resource_energy_add = -14
}
buy_influence_drain_0016 = {
    icon = "gfx/interface/icons/modifiers/mod_country_previous_deals.dds"
    static_resource_minerals_add = -16
    static_resource_energy_add = -16
}
buy_influence_drain_0018 = {
    icon = "gfx/interface/icons/modifiers/mod_country_previous_deals.dds"
    static_resource_minerals_add = -18
    static_resource_energy_add = -18
}
buy_influence_drain_0020 = {
    icon = "gfx/interface/icons/modifiers/mod_country_previous_deals.dds"
    static_resource_minerals_add = -20
    static_resource_energy_add = -20
}
buy_influence_drain_0024 = {
    icon = "gfx/interface/icons/modifiers/mod_country_previous_deals.dds"
    static_resource_minerals_add = -24
    static_resource_energy_add = -24
}
buy_influence_drain_0025 = {
    icon = "gfx/interface/icons/modifiers/mod_country_previous_deals.dds"
    static_resource_minerals_add = -25
    static_resource_energy_add = -25
}
buy_influence_drain_0028 = {
    icon = "gfx/interface/icons/modifiers/mod_country_previous_deals.dds"
    static_resource_minerals_add = -28
    static_resource_energy_add = -28
}
buy_influence_drain_0030 = {
    icon = "gfx/interface/icons/modifiers/mod_country_previous_deals.dds"
    static_resource_minerals_add = -30
    static_resource_energy_add = -30
}
buy_influence_drain_0032 = {
    icon = "gfx/interface/icons/modifiers/mod_country_previous_deals.dds"
    static_resource_minerals_add = -32
    static_resource_energy_add = -32
}
buy_influence_drain_0035 = {
    icon = "gfx/interface/icons/modifiers/mod_country_previous_deals.dds"
    static_resource_minerals_add = -35
    static_resource_energy_add = -35
}
buy_influence_drain_0036 = {
    icon = "gfx/interface/icons/modifiers/mod_country_previous_deals.dds"
    static_resource_minerals_add = -36
    static_resource_energy_add = -36
}
buy_influence_drain_0040 = {
    icon = "gfx/interface/icons/modifiers/mod_country_previous_deals.dds"
    static_resource_minerals_add = -40
    static_resource_energy_add = -40
}
buy_influence_drain_0042 = {
    icon = "gfx/interface/icons/modifiers/mod_country_previous_deals.dds"
    static_resource_minerals_add = -42
    static_resource_energy_add = -42
}
buy_influence_drain_0045 = {
    icon = "gfx/interface/icons/modifiers/mod_country_previous_deals.dds"
    static_resource_minerals_add = -45
    static_resource_energy_add = -45
}
buy_influence_drain_0048 = {
    icon = "gfx/interface/icons/modifiers/mod_country_previous_deals.dds"
    static_resource_minerals_add = -48
    static_resource_energy_add = -48
}
buy_influence_drain_0050 = {
    icon = "gfx/interface/icons/modifiers/mod_country_previous_deals.dds"
    static_resource_minerals_add = -50
    static_resource_energy_add = -50
}
buy_influence_drain_0054 = {
    icon = "gfx/interface/icons/modifiers/mod_country_previous_deals.dds"
    static_resource_minerals_add = -54
    static_resource_energy_add = -54
}
buy_influence_drain_0056 = {
    icon = "gfx/interface/icons/modifiers/mod_country_previous_deals.dds"
    static_resource_minerals_add = -56
    static_resource_energy_add = -56
}
buy_influence_drain_0060 = {
    icon = "gfx/interface/icons/modifiers/mod_country_previous_deals.dds"
    static_resource_minerals_add = -60
    static_resource_energy_add = -60
}
buy_influence_drain_0064 = {
    icon = "gfx/interface/icons/modifiers/mod_country_previous_deals.dds"
    static_resource_minerals_add = -64
    static_resource_energy_add = -64
}
buy_influence_drain_0070 = {
    icon = "gfx/interface/icons/modifiers/mod_country_previous_deals.dds"
    static_resource_minerals_add = -70
    static_resource_energy_add = -70
}
buy_influence_drain_0072 = {
    icon = "gfx/interface/icons/modifiers/mod_country_previous_deals.dds"
    static_resource_minerals_add = -72
    static_resource_energy_add = -72
}
buy_influence_drain_0075 = {
    icon = "gfx/interface/icons/modifiers/mod_country_previous_deals.dds"
    static_resource_minerals_add = -75
    static_resource_energy_add = -75
}
buy_influence_drain_0080 = {
    icon = "gfx/interface/icons/modifiers/mod_country_previous_deals.dds"
    static_resource_minerals_add = -80
    static_resource_energy_add = -80
}
buy_influence_drain_0090 = {
    icon = "gfx/interface/icons/modifiers/mod_country_previous_deals.dds"
    static_resource_minerals_add = -90
    static_resource_energy_add = -90
}
buy_influence_drain_0100 = {
    icon = "gfx/interface/icons/modifiers/mod_country_previous_deals.dds"
    static_resource_minerals_add = -100
    static_resource_energy_add = -100
}
buy_influence_drain_0105 = {
    icon = "gfx/interface/icons/modifiers/mod_country_previous_deals.dds"
    static_resource_minerals_add = -105
    static_resource_energy_add = -105
}
buy_influence_drain_0120 = {
    icon = "gfx/interface/icons/modifiers/mod_country_previous_deals.dds"
    static_resource_minerals_add = -120
    static_resource_energy_add = -120
}
buy_influence_drain_0135 = {
    icon = "gfx/interface/icons/modifiers/mod_country_previous_deals.dds"
    static_resource_minerals_add = -135
    static_resource_energy_add = -135
}
buy_influence_drain_0140 = {
    icon = "gfx/interface/icons/modifiers/mod_country_previous_deals.dds"
    static_resource_minerals_add = -140
    static_resource_energy_add = -140
}
buy_influence_drain_0150 = {
    icon = "gfx/interface/icons/modifiers/mod_country_previous_deals.dds"
    static_resource_minerals_add = -150
    static_resource_energy_add = -150
}
buy_influence_drain_0160 = {
    icon = "gfx/interface/icons/modifiers/mod_country_previous_deals.dds"
    static_resource_minerals_add = -160
    static_resource_energy_add = -160
}
buy_influence_drain_0180 = {
    icon = "gfx/interface/icons/modifiers/mod_country_previous_deals.dds"
    static_resource_minerals_add = -180
    static_resource_energy_add = -180
}
buy_influence_drain_0200 = {
    icon = "gfx/interface/icons/modifiers/mod_country_previous_deals.dds"
    static_resource_minerals_add = -200
    static_resource_energy_add = -200
}
buy_influence_drain_0210 = {
    icon = "gfx/interface/icons/modifiers/mod_country_previous_deals.dds"
    static_resource_minerals_add = -210
    static_resource_energy_add = -210
}
buy_influence_drain_0240 = {
    icon = "gfx/interface/icons/modifiers/mod_country_previous_deals.dds"
    static_resource_minerals_add = -240
    static_resource_energy_add = -240
}
buy_influence_drain_0250 = {
    icon = "gfx/interface/icons/modifiers/mod_country_previous_deals.dds"
    static_resource_minerals_add = -250
    static_resource_energy_add = -250
}
buy_influence_drain_0270 = {
    icon = "gfx/interface/icons/modifiers/mod_country_previous_deals.dds"
    static_resource_minerals_add = -270
    static_resource_energy_add = -270
}
buy_influence_drain_0280 = {
    icon = "gfx/interface/icons/modifiers/mod_country_previous_deals.dds"
    static_resource_minerals_add = -280
    static_resource_energy_add = -280
}
buy_influence_drain_0300 = {
    icon = "gfx/interface/icons/modifiers/mod_country_previous_deals.dds"
    static_resource_minerals_add = -300
    static_resource_energy_add = -300
}
buy_influence_drain_0320 = {
    icon = "gfx/interface/icons/modifiers/mod_country_previous_deals.dds"
    static_resource_minerals_add = -320
    static_resource_energy_add = -320
}
buy_influence_drain_0350 = {
    icon = "gfx/interface/icons/modifiers/mod_country_previous_deals.dds"
    static_resource_minerals_add = -350
    static_resource_energy_add = -350
}
buy_influence_drain_0360 = {
    icon = "gfx/interface/icons/modifiers/mod_country_previous_deals.dds"
    static_resource_minerals_add = -360
    static_resource_energy_add = -360
}
buy_influence_drain_0400 = {
    icon = "gfx/interface/icons/modifiers/mod_country_previous_deals.dds"
    static_resource_minerals_add = -400
    static_resource_energy_add = -400
}
buy_influence_drain_0420 = {
    icon = "gfx/interface/icons/modifiers/mod_country_previous_deals.dds"
    static_resource_minerals_add = -420
    static_resource_energy_add = -420
}
buy_influence_drain_0450 = {
    icon = "gfx/interface/icons/modifiers/mod_country_previous_deals.dds"
    static_resource_minerals_add = -450
    static_resource_energy_add = -450
}
buy_influence_drain_0480 = {
    icon = "gfx/interface/icons/modifiers/mod_country_previous_deals.dds"
    static_resource_minerals_add = -480
    static_resource_energy_add = -480
}
buy_influence_drain_0500 = {
    icon = "gfx/interface/icons/modifiers/mod_country_previous_deals.dds"
    static_resource_minerals_add = -500
    static_resource_energy_add = -500
}
buy_influence_drain_0540 = {
    icon = "gfx/interface/icons/modifiers/mod_country_previous_deals.dds"
    static_resource_minerals_add = -540
    static_resource_energy_add = -540
}
buy_influence_drain_0560 = {
    icon = "gfx/interface/icons/modifiers/mod_country_previous_deals.dds"
    static_resource_minerals_add = -560
    static_resource_energy_add = -560
}
buy_influence_drain_0600 = {
    icon = "gfx/interface/icons/modifiers/mod_country_previous_deals.dds"
    static_resource_minerals_add = -600
    static_resource_energy_add = -600
}
buy_influence_drain_0640 = {
    icon = "gfx/interface/icons/modifiers/mod_country_previous_deals.dds"
    static_resource_minerals_add = -640
    static_resource_energy_add = -640
}
buy_influence_drain_0700 = {
    icon = "gfx/interface/icons/modifiers/mod_country_previous_deals.dds"
    static_resource_minerals_add = -700
    static_resource_energy_add = -700
}
buy_influence_drain_0720 = {
    icon = "gfx/interface/icons/modifiers/mod_country_previous_deals.dds"
    static_resource_minerals_add = -720
    static_resource_energy_add = -720
}
buy_influence_drain_0750 = {
    icon = "gfx/interface/icons/modifiers/mod_country_previous_deals.dds"
    static_resource_minerals_add = -750
    static_resource_energy_add = -750
}
buy_influence_drain_0800 = {
    icon = "gfx/interface/icons/modifiers/mod_country_previous_deals.dds"
    static_resource_minerals_add = -800
    static_resource_energy_add = -800
}
buy_influence_drain_0900 = {
    icon = "gfx/interface/icons/modifiers/mod_country_previous_deals.dds"
    static_resource_minerals_add = -900
    static_resource_energy_add = -900
}
buy_influence_drain_1000 = {
    icon = "gfx/interface/icons/modifiers/mod_country_previous_deals.dds"
    static_resource_minerals_add = -1000
    static_resource_energy_add = -1000
}
buy_influence_drain_1050 = {
    icon = "gfx/interface/icons/modifiers/mod_country_previous_deals.dds"
    static_resource_minerals_add = -1050
    static_resource_energy_add = -1050
}
buy_influence_drain_1200 = {
    icon = "gfx/interface/icons/modifiers/mod_country_previous_deals.dds"
    static_resource_minerals_add = -1200
    static_resource_energy_add = -1200
}
buy_influence_drain_1350 = {
    icon = "gfx/interface/icons/modifiers/mod_country_previous_deals.dds"
    static_resource_minerals_add = -1350
    static_resource_energy_add = -1350
}
buy_influence_drain_1400 = {
    icon = "gfx/interface/icons/modifiers/mod_country_previous_deals.dds"
    static_resource_minerals_add = -1400
    static_resource_energy_add = -1400
}
buy_influence_drain_1500 = {
    icon = "gfx/interface/icons/modifiers/mod_country_previous_deals.dds"
    static_resource_minerals_add = -1500
    static_resource_energy_add = -1500
}
buy_influence_drain_1600 = {
    icon = "gfx/interface/icons/modifiers/mod_country_previous_deals.dds"
    static_resource_minerals_add = -1600
    static_resource_energy_add = -1600
}
buy_influence_drain_1800 = {
    icon = "gfx/interface/icons/modifiers/mod_country_previous_deals.dds"
    static_resource_minerals_add = -1800
    static_resource_energy_add = -1800
}
buy_influence_drain_2000 = {
    icon = "gfx/interface/icons/modifiers/mod_country_previous_deals.dds"
    static_resource_minerals_add = -2000
    static_resource_energy_add = -2000
}
</v>
      </c>
      <c r="F2" s="15" t="str">
        <f>Concatenate_Column(F3:F70)</f>
        <v xml:space="preserve">remove_modifier = buy_influence_drain_0010
remove_modifier = buy_influence_drain_0012
remove_modifier = buy_influence_drain_0014
remove_modifier = buy_influence_drain_0016
remove_modifier = buy_influence_drain_0018
remove_modifier = buy_influence_drain_0020
remove_modifier = buy_influence_drain_0024
remove_modifier = buy_influence_drain_0025
remove_modifier = buy_influence_drain_0028
remove_modifier = buy_influence_drain_0030
remove_modifier = buy_influence_drain_0032
remove_modifier = buy_influence_drain_0035
remove_modifier = buy_influence_drain_0036
remove_modifier = buy_influence_drain_0040
remove_modifier = buy_influence_drain_0042
remove_modifier = buy_influence_drain_0045
remove_modifier = buy_influence_drain_0048
remove_modifier = buy_influence_drain_0050
remove_modifier = buy_influence_drain_0054
remove_modifier = buy_influence_drain_0056
remove_modifier = buy_influence_drain_0060
remove_modifier = buy_influence_drain_0064
remove_modifier = buy_influence_drain_0070
remove_modifier = buy_influence_drain_0072
remove_modifier = buy_influence_drain_0075
remove_modifier = buy_influence_drain_0080
remove_modifier = buy_influence_drain_0090
remove_modifier = buy_influence_drain_0100
remove_modifier = buy_influence_drain_0105
remove_modifier = buy_influence_drain_0120
remove_modifier = buy_influence_drain_0135
remove_modifier = buy_influence_drain_0140
remove_modifier = buy_influence_drain_0150
remove_modifier = buy_influence_drain_0160
remove_modifier = buy_influence_drain_0180
remove_modifier = buy_influence_drain_0200
remove_modifier = buy_influence_drain_0210
remove_modifier = buy_influence_drain_0240
remove_modifier = buy_influence_drain_0250
remove_modifier = buy_influence_drain_0270
remove_modifier = buy_influence_drain_0280
remove_modifier = buy_influence_drain_0300
remove_modifier = buy_influence_drain_0320
remove_modifier = buy_influence_drain_0350
remove_modifier = buy_influence_drain_0360
remove_modifier = buy_influence_drain_0400
remove_modifier = buy_influence_drain_0420
remove_modifier = buy_influence_drain_0450
remove_modifier = buy_influence_drain_0480
remove_modifier = buy_influence_drain_0500
remove_modifier = buy_influence_drain_0540
remove_modifier = buy_influence_drain_0560
remove_modifier = buy_influence_drain_0600
remove_modifier = buy_influence_drain_0640
remove_modifier = buy_influence_drain_0700
remove_modifier = buy_influence_drain_0720
remove_modifier = buy_influence_drain_0750
remove_modifier = buy_influence_drain_0800
remove_modifier = buy_influence_drain_0900
remove_modifier = buy_influence_drain_1000
remove_modifier = buy_influence_drain_1050
remove_modifier = buy_influence_drain_1200
remove_modifier = buy_influence_drain_1350
remove_modifier = buy_influence_drain_1400
remove_modifier = buy_influence_drain_1500
remove_modifier = buy_influence_drain_1600
remove_modifier = buy_influence_drain_1800
remove_modifier = buy_influence_drain_2000
</v>
      </c>
    </row>
    <row r="3" spans="1:6" x14ac:dyDescent="0.45">
      <c r="A3">
        <v>10</v>
      </c>
      <c r="C3" t="str">
        <f>"buy_influence_drain_" &amp; IF(A3&lt;100,"00",IF(A3&lt;1000,"0","")) &amp; A3</f>
        <v>buy_influence_drain_0010</v>
      </c>
      <c r="E3" s="13" t="str">
        <f>C3&amp; " = {
    icon = " &amp; """" &amp; "gfx/interface/icons/modifiers/mod_country_previous_deals.dds" &amp; """" &amp; "
    static_resource_minerals_add = -" &amp; A3 &amp; "
    static_resource_energy_add = -" &amp; A3 &amp; "
}
"</f>
        <v xml:space="preserve">buy_influence_drain_0010 = {
    icon = "gfx/interface/icons/modifiers/mod_country_previous_deals.dds"
    static_resource_minerals_add = -10
    static_resource_energy_add = -10
}
</v>
      </c>
      <c r="F3" t="str">
        <f>"remove_modifier = " &amp; C3 &amp; "
"</f>
        <v xml:space="preserve">remove_modifier = buy_influence_drain_0010
</v>
      </c>
    </row>
    <row r="4" spans="1:6" x14ac:dyDescent="0.45">
      <c r="A4">
        <v>12</v>
      </c>
      <c r="C4" t="str">
        <f t="shared" ref="C4:C67" si="0">"buy_influence_drain_" &amp; IF(A4&lt;100,"00",IF(A4&lt;1000,"0","")) &amp; A4</f>
        <v>buy_influence_drain_0012</v>
      </c>
      <c r="E4" s="13" t="str">
        <f t="shared" ref="E4:E67" si="1">C4&amp; " = {
    icon = " &amp; """" &amp; "gfx/interface/icons/modifiers/mod_country_previous_deals.dds" &amp; """" &amp; "
    static_resource_minerals_add = -" &amp; A4 &amp; "
    static_resource_energy_add = -" &amp; A4 &amp; "
}
"</f>
        <v xml:space="preserve">buy_influence_drain_0012 = {
    icon = "gfx/interface/icons/modifiers/mod_country_previous_deals.dds"
    static_resource_minerals_add = -12
    static_resource_energy_add = -12
}
</v>
      </c>
      <c r="F4" t="str">
        <f t="shared" ref="F4:F67" si="2">"remove_modifier = " &amp; C4 &amp; "
"</f>
        <v xml:space="preserve">remove_modifier = buy_influence_drain_0012
</v>
      </c>
    </row>
    <row r="5" spans="1:6" x14ac:dyDescent="0.45">
      <c r="A5">
        <v>14</v>
      </c>
      <c r="C5" t="str">
        <f t="shared" si="0"/>
        <v>buy_influence_drain_0014</v>
      </c>
      <c r="E5" s="13" t="str">
        <f t="shared" si="1"/>
        <v xml:space="preserve">buy_influence_drain_0014 = {
    icon = "gfx/interface/icons/modifiers/mod_country_previous_deals.dds"
    static_resource_minerals_add = -14
    static_resource_energy_add = -14
}
</v>
      </c>
      <c r="F5" t="str">
        <f t="shared" si="2"/>
        <v xml:space="preserve">remove_modifier = buy_influence_drain_0014
</v>
      </c>
    </row>
    <row r="6" spans="1:6" x14ac:dyDescent="0.45">
      <c r="A6">
        <v>16</v>
      </c>
      <c r="C6" t="str">
        <f t="shared" si="0"/>
        <v>buy_influence_drain_0016</v>
      </c>
      <c r="E6" s="13" t="str">
        <f t="shared" si="1"/>
        <v xml:space="preserve">buy_influence_drain_0016 = {
    icon = "gfx/interface/icons/modifiers/mod_country_previous_deals.dds"
    static_resource_minerals_add = -16
    static_resource_energy_add = -16
}
</v>
      </c>
      <c r="F6" t="str">
        <f t="shared" si="2"/>
        <v xml:space="preserve">remove_modifier = buy_influence_drain_0016
</v>
      </c>
    </row>
    <row r="7" spans="1:6" x14ac:dyDescent="0.45">
      <c r="A7">
        <v>18</v>
      </c>
      <c r="C7" t="str">
        <f t="shared" si="0"/>
        <v>buy_influence_drain_0018</v>
      </c>
      <c r="E7" s="13" t="str">
        <f t="shared" si="1"/>
        <v xml:space="preserve">buy_influence_drain_0018 = {
    icon = "gfx/interface/icons/modifiers/mod_country_previous_deals.dds"
    static_resource_minerals_add = -18
    static_resource_energy_add = -18
}
</v>
      </c>
      <c r="F7" t="str">
        <f t="shared" si="2"/>
        <v xml:space="preserve">remove_modifier = buy_influence_drain_0018
</v>
      </c>
    </row>
    <row r="8" spans="1:6" x14ac:dyDescent="0.45">
      <c r="A8">
        <v>20</v>
      </c>
      <c r="C8" t="str">
        <f t="shared" si="0"/>
        <v>buy_influence_drain_0020</v>
      </c>
      <c r="E8" s="13" t="str">
        <f t="shared" si="1"/>
        <v xml:space="preserve">buy_influence_drain_0020 = {
    icon = "gfx/interface/icons/modifiers/mod_country_previous_deals.dds"
    static_resource_minerals_add = -20
    static_resource_energy_add = -20
}
</v>
      </c>
      <c r="F8" t="str">
        <f t="shared" si="2"/>
        <v xml:space="preserve">remove_modifier = buy_influence_drain_0020
</v>
      </c>
    </row>
    <row r="9" spans="1:6" x14ac:dyDescent="0.45">
      <c r="A9">
        <v>24</v>
      </c>
      <c r="C9" t="str">
        <f t="shared" si="0"/>
        <v>buy_influence_drain_0024</v>
      </c>
      <c r="E9" s="13" t="str">
        <f t="shared" si="1"/>
        <v xml:space="preserve">buy_influence_drain_0024 = {
    icon = "gfx/interface/icons/modifiers/mod_country_previous_deals.dds"
    static_resource_minerals_add = -24
    static_resource_energy_add = -24
}
</v>
      </c>
      <c r="F9" t="str">
        <f t="shared" si="2"/>
        <v xml:space="preserve">remove_modifier = buy_influence_drain_0024
</v>
      </c>
    </row>
    <row r="10" spans="1:6" x14ac:dyDescent="0.45">
      <c r="A10">
        <v>25</v>
      </c>
      <c r="C10" t="str">
        <f t="shared" si="0"/>
        <v>buy_influence_drain_0025</v>
      </c>
      <c r="E10" s="13" t="str">
        <f t="shared" si="1"/>
        <v xml:space="preserve">buy_influence_drain_0025 = {
    icon = "gfx/interface/icons/modifiers/mod_country_previous_deals.dds"
    static_resource_minerals_add = -25
    static_resource_energy_add = -25
}
</v>
      </c>
      <c r="F10" t="str">
        <f t="shared" si="2"/>
        <v xml:space="preserve">remove_modifier = buy_influence_drain_0025
</v>
      </c>
    </row>
    <row r="11" spans="1:6" x14ac:dyDescent="0.45">
      <c r="A11">
        <v>28</v>
      </c>
      <c r="C11" t="str">
        <f t="shared" si="0"/>
        <v>buy_influence_drain_0028</v>
      </c>
      <c r="E11" s="13" t="str">
        <f t="shared" si="1"/>
        <v xml:space="preserve">buy_influence_drain_0028 = {
    icon = "gfx/interface/icons/modifiers/mod_country_previous_deals.dds"
    static_resource_minerals_add = -28
    static_resource_energy_add = -28
}
</v>
      </c>
      <c r="F11" t="str">
        <f t="shared" si="2"/>
        <v xml:space="preserve">remove_modifier = buy_influence_drain_0028
</v>
      </c>
    </row>
    <row r="12" spans="1:6" x14ac:dyDescent="0.45">
      <c r="A12">
        <v>30</v>
      </c>
      <c r="C12" t="str">
        <f t="shared" si="0"/>
        <v>buy_influence_drain_0030</v>
      </c>
      <c r="E12" s="13" t="str">
        <f t="shared" si="1"/>
        <v xml:space="preserve">buy_influence_drain_0030 = {
    icon = "gfx/interface/icons/modifiers/mod_country_previous_deals.dds"
    static_resource_minerals_add = -30
    static_resource_energy_add = -30
}
</v>
      </c>
      <c r="F12" t="str">
        <f t="shared" si="2"/>
        <v xml:space="preserve">remove_modifier = buy_influence_drain_0030
</v>
      </c>
    </row>
    <row r="13" spans="1:6" x14ac:dyDescent="0.45">
      <c r="A13">
        <v>32</v>
      </c>
      <c r="C13" t="str">
        <f t="shared" si="0"/>
        <v>buy_influence_drain_0032</v>
      </c>
      <c r="E13" s="13" t="str">
        <f t="shared" si="1"/>
        <v xml:space="preserve">buy_influence_drain_0032 = {
    icon = "gfx/interface/icons/modifiers/mod_country_previous_deals.dds"
    static_resource_minerals_add = -32
    static_resource_energy_add = -32
}
</v>
      </c>
      <c r="F13" t="str">
        <f t="shared" si="2"/>
        <v xml:space="preserve">remove_modifier = buy_influence_drain_0032
</v>
      </c>
    </row>
    <row r="14" spans="1:6" x14ac:dyDescent="0.45">
      <c r="A14">
        <v>35</v>
      </c>
      <c r="C14" t="str">
        <f t="shared" si="0"/>
        <v>buy_influence_drain_0035</v>
      </c>
      <c r="E14" s="13" t="str">
        <f t="shared" si="1"/>
        <v xml:space="preserve">buy_influence_drain_0035 = {
    icon = "gfx/interface/icons/modifiers/mod_country_previous_deals.dds"
    static_resource_minerals_add = -35
    static_resource_energy_add = -35
}
</v>
      </c>
      <c r="F14" t="str">
        <f t="shared" si="2"/>
        <v xml:space="preserve">remove_modifier = buy_influence_drain_0035
</v>
      </c>
    </row>
    <row r="15" spans="1:6" x14ac:dyDescent="0.45">
      <c r="A15">
        <v>36</v>
      </c>
      <c r="C15" t="str">
        <f t="shared" si="0"/>
        <v>buy_influence_drain_0036</v>
      </c>
      <c r="E15" s="13" t="str">
        <f t="shared" si="1"/>
        <v xml:space="preserve">buy_influence_drain_0036 = {
    icon = "gfx/interface/icons/modifiers/mod_country_previous_deals.dds"
    static_resource_minerals_add = -36
    static_resource_energy_add = -36
}
</v>
      </c>
      <c r="F15" t="str">
        <f t="shared" si="2"/>
        <v xml:space="preserve">remove_modifier = buy_influence_drain_0036
</v>
      </c>
    </row>
    <row r="16" spans="1:6" x14ac:dyDescent="0.45">
      <c r="A16">
        <v>40</v>
      </c>
      <c r="C16" t="str">
        <f t="shared" si="0"/>
        <v>buy_influence_drain_0040</v>
      </c>
      <c r="E16" s="13" t="str">
        <f t="shared" si="1"/>
        <v xml:space="preserve">buy_influence_drain_0040 = {
    icon = "gfx/interface/icons/modifiers/mod_country_previous_deals.dds"
    static_resource_minerals_add = -40
    static_resource_energy_add = -40
}
</v>
      </c>
      <c r="F16" t="str">
        <f t="shared" si="2"/>
        <v xml:space="preserve">remove_modifier = buy_influence_drain_0040
</v>
      </c>
    </row>
    <row r="17" spans="1:6" x14ac:dyDescent="0.45">
      <c r="A17">
        <v>42</v>
      </c>
      <c r="C17" t="str">
        <f t="shared" si="0"/>
        <v>buy_influence_drain_0042</v>
      </c>
      <c r="E17" s="13" t="str">
        <f t="shared" si="1"/>
        <v xml:space="preserve">buy_influence_drain_0042 = {
    icon = "gfx/interface/icons/modifiers/mod_country_previous_deals.dds"
    static_resource_minerals_add = -42
    static_resource_energy_add = -42
}
</v>
      </c>
      <c r="F17" t="str">
        <f t="shared" si="2"/>
        <v xml:space="preserve">remove_modifier = buy_influence_drain_0042
</v>
      </c>
    </row>
    <row r="18" spans="1:6" x14ac:dyDescent="0.45">
      <c r="A18">
        <v>45</v>
      </c>
      <c r="C18" t="str">
        <f t="shared" si="0"/>
        <v>buy_influence_drain_0045</v>
      </c>
      <c r="E18" s="13" t="str">
        <f t="shared" si="1"/>
        <v xml:space="preserve">buy_influence_drain_0045 = {
    icon = "gfx/interface/icons/modifiers/mod_country_previous_deals.dds"
    static_resource_minerals_add = -45
    static_resource_energy_add = -45
}
</v>
      </c>
      <c r="F18" t="str">
        <f t="shared" si="2"/>
        <v xml:space="preserve">remove_modifier = buy_influence_drain_0045
</v>
      </c>
    </row>
    <row r="19" spans="1:6" x14ac:dyDescent="0.45">
      <c r="A19">
        <v>48</v>
      </c>
      <c r="C19" t="str">
        <f t="shared" si="0"/>
        <v>buy_influence_drain_0048</v>
      </c>
      <c r="E19" s="13" t="str">
        <f t="shared" si="1"/>
        <v xml:space="preserve">buy_influence_drain_0048 = {
    icon = "gfx/interface/icons/modifiers/mod_country_previous_deals.dds"
    static_resource_minerals_add = -48
    static_resource_energy_add = -48
}
</v>
      </c>
      <c r="F19" t="str">
        <f t="shared" si="2"/>
        <v xml:space="preserve">remove_modifier = buy_influence_drain_0048
</v>
      </c>
    </row>
    <row r="20" spans="1:6" x14ac:dyDescent="0.45">
      <c r="A20">
        <v>50</v>
      </c>
      <c r="C20" t="str">
        <f t="shared" si="0"/>
        <v>buy_influence_drain_0050</v>
      </c>
      <c r="E20" s="13" t="str">
        <f t="shared" si="1"/>
        <v xml:space="preserve">buy_influence_drain_0050 = {
    icon = "gfx/interface/icons/modifiers/mod_country_previous_deals.dds"
    static_resource_minerals_add = -50
    static_resource_energy_add = -50
}
</v>
      </c>
      <c r="F20" t="str">
        <f t="shared" si="2"/>
        <v xml:space="preserve">remove_modifier = buy_influence_drain_0050
</v>
      </c>
    </row>
    <row r="21" spans="1:6" x14ac:dyDescent="0.45">
      <c r="A21">
        <v>54</v>
      </c>
      <c r="C21" t="str">
        <f t="shared" si="0"/>
        <v>buy_influence_drain_0054</v>
      </c>
      <c r="E21" s="13" t="str">
        <f t="shared" si="1"/>
        <v xml:space="preserve">buy_influence_drain_0054 = {
    icon = "gfx/interface/icons/modifiers/mod_country_previous_deals.dds"
    static_resource_minerals_add = -54
    static_resource_energy_add = -54
}
</v>
      </c>
      <c r="F21" t="str">
        <f t="shared" si="2"/>
        <v xml:space="preserve">remove_modifier = buy_influence_drain_0054
</v>
      </c>
    </row>
    <row r="22" spans="1:6" x14ac:dyDescent="0.45">
      <c r="A22">
        <v>56</v>
      </c>
      <c r="C22" t="str">
        <f t="shared" si="0"/>
        <v>buy_influence_drain_0056</v>
      </c>
      <c r="E22" s="13" t="str">
        <f t="shared" si="1"/>
        <v xml:space="preserve">buy_influence_drain_0056 = {
    icon = "gfx/interface/icons/modifiers/mod_country_previous_deals.dds"
    static_resource_minerals_add = -56
    static_resource_energy_add = -56
}
</v>
      </c>
      <c r="F22" t="str">
        <f t="shared" si="2"/>
        <v xml:space="preserve">remove_modifier = buy_influence_drain_0056
</v>
      </c>
    </row>
    <row r="23" spans="1:6" x14ac:dyDescent="0.45">
      <c r="A23">
        <v>60</v>
      </c>
      <c r="C23" t="str">
        <f t="shared" si="0"/>
        <v>buy_influence_drain_0060</v>
      </c>
      <c r="E23" s="13" t="str">
        <f t="shared" si="1"/>
        <v xml:space="preserve">buy_influence_drain_0060 = {
    icon = "gfx/interface/icons/modifiers/mod_country_previous_deals.dds"
    static_resource_minerals_add = -60
    static_resource_energy_add = -60
}
</v>
      </c>
      <c r="F23" t="str">
        <f t="shared" si="2"/>
        <v xml:space="preserve">remove_modifier = buy_influence_drain_0060
</v>
      </c>
    </row>
    <row r="24" spans="1:6" x14ac:dyDescent="0.45">
      <c r="A24">
        <v>64</v>
      </c>
      <c r="C24" t="str">
        <f t="shared" si="0"/>
        <v>buy_influence_drain_0064</v>
      </c>
      <c r="E24" s="13" t="str">
        <f t="shared" si="1"/>
        <v xml:space="preserve">buy_influence_drain_0064 = {
    icon = "gfx/interface/icons/modifiers/mod_country_previous_deals.dds"
    static_resource_minerals_add = -64
    static_resource_energy_add = -64
}
</v>
      </c>
      <c r="F24" t="str">
        <f t="shared" si="2"/>
        <v xml:space="preserve">remove_modifier = buy_influence_drain_0064
</v>
      </c>
    </row>
    <row r="25" spans="1:6" x14ac:dyDescent="0.45">
      <c r="A25">
        <v>70</v>
      </c>
      <c r="C25" t="str">
        <f t="shared" si="0"/>
        <v>buy_influence_drain_0070</v>
      </c>
      <c r="E25" s="13" t="str">
        <f t="shared" si="1"/>
        <v xml:space="preserve">buy_influence_drain_0070 = {
    icon = "gfx/interface/icons/modifiers/mod_country_previous_deals.dds"
    static_resource_minerals_add = -70
    static_resource_energy_add = -70
}
</v>
      </c>
      <c r="F25" t="str">
        <f t="shared" si="2"/>
        <v xml:space="preserve">remove_modifier = buy_influence_drain_0070
</v>
      </c>
    </row>
    <row r="26" spans="1:6" x14ac:dyDescent="0.45">
      <c r="A26">
        <v>72</v>
      </c>
      <c r="C26" t="str">
        <f t="shared" si="0"/>
        <v>buy_influence_drain_0072</v>
      </c>
      <c r="E26" s="13" t="str">
        <f t="shared" si="1"/>
        <v xml:space="preserve">buy_influence_drain_0072 = {
    icon = "gfx/interface/icons/modifiers/mod_country_previous_deals.dds"
    static_resource_minerals_add = -72
    static_resource_energy_add = -72
}
</v>
      </c>
      <c r="F26" t="str">
        <f t="shared" si="2"/>
        <v xml:space="preserve">remove_modifier = buy_influence_drain_0072
</v>
      </c>
    </row>
    <row r="27" spans="1:6" x14ac:dyDescent="0.45">
      <c r="A27">
        <v>75</v>
      </c>
      <c r="C27" t="str">
        <f t="shared" si="0"/>
        <v>buy_influence_drain_0075</v>
      </c>
      <c r="E27" s="13" t="str">
        <f t="shared" si="1"/>
        <v xml:space="preserve">buy_influence_drain_0075 = {
    icon = "gfx/interface/icons/modifiers/mod_country_previous_deals.dds"
    static_resource_minerals_add = -75
    static_resource_energy_add = -75
}
</v>
      </c>
      <c r="F27" t="str">
        <f t="shared" si="2"/>
        <v xml:space="preserve">remove_modifier = buy_influence_drain_0075
</v>
      </c>
    </row>
    <row r="28" spans="1:6" x14ac:dyDescent="0.45">
      <c r="A28">
        <v>80</v>
      </c>
      <c r="C28" t="str">
        <f t="shared" si="0"/>
        <v>buy_influence_drain_0080</v>
      </c>
      <c r="E28" s="13" t="str">
        <f t="shared" si="1"/>
        <v xml:space="preserve">buy_influence_drain_0080 = {
    icon = "gfx/interface/icons/modifiers/mod_country_previous_deals.dds"
    static_resource_minerals_add = -80
    static_resource_energy_add = -80
}
</v>
      </c>
      <c r="F28" t="str">
        <f t="shared" si="2"/>
        <v xml:space="preserve">remove_modifier = buy_influence_drain_0080
</v>
      </c>
    </row>
    <row r="29" spans="1:6" x14ac:dyDescent="0.45">
      <c r="A29">
        <v>90</v>
      </c>
      <c r="C29" t="str">
        <f t="shared" si="0"/>
        <v>buy_influence_drain_0090</v>
      </c>
      <c r="E29" s="13" t="str">
        <f t="shared" si="1"/>
        <v xml:space="preserve">buy_influence_drain_0090 = {
    icon = "gfx/interface/icons/modifiers/mod_country_previous_deals.dds"
    static_resource_minerals_add = -90
    static_resource_energy_add = -90
}
</v>
      </c>
      <c r="F29" t="str">
        <f t="shared" si="2"/>
        <v xml:space="preserve">remove_modifier = buy_influence_drain_0090
</v>
      </c>
    </row>
    <row r="30" spans="1:6" x14ac:dyDescent="0.45">
      <c r="A30">
        <v>100</v>
      </c>
      <c r="C30" t="str">
        <f t="shared" si="0"/>
        <v>buy_influence_drain_0100</v>
      </c>
      <c r="E30" s="13" t="str">
        <f t="shared" si="1"/>
        <v xml:space="preserve">buy_influence_drain_0100 = {
    icon = "gfx/interface/icons/modifiers/mod_country_previous_deals.dds"
    static_resource_minerals_add = -100
    static_resource_energy_add = -100
}
</v>
      </c>
      <c r="F30" t="str">
        <f t="shared" si="2"/>
        <v xml:space="preserve">remove_modifier = buy_influence_drain_0100
</v>
      </c>
    </row>
    <row r="31" spans="1:6" x14ac:dyDescent="0.45">
      <c r="A31">
        <v>105</v>
      </c>
      <c r="C31" t="str">
        <f t="shared" si="0"/>
        <v>buy_influence_drain_0105</v>
      </c>
      <c r="E31" s="13" t="str">
        <f t="shared" si="1"/>
        <v xml:space="preserve">buy_influence_drain_0105 = {
    icon = "gfx/interface/icons/modifiers/mod_country_previous_deals.dds"
    static_resource_minerals_add = -105
    static_resource_energy_add = -105
}
</v>
      </c>
      <c r="F31" t="str">
        <f t="shared" si="2"/>
        <v xml:space="preserve">remove_modifier = buy_influence_drain_0105
</v>
      </c>
    </row>
    <row r="32" spans="1:6" x14ac:dyDescent="0.45">
      <c r="A32">
        <v>120</v>
      </c>
      <c r="C32" t="str">
        <f t="shared" si="0"/>
        <v>buy_influence_drain_0120</v>
      </c>
      <c r="E32" s="13" t="str">
        <f t="shared" si="1"/>
        <v xml:space="preserve">buy_influence_drain_0120 = {
    icon = "gfx/interface/icons/modifiers/mod_country_previous_deals.dds"
    static_resource_minerals_add = -120
    static_resource_energy_add = -120
}
</v>
      </c>
      <c r="F32" t="str">
        <f t="shared" si="2"/>
        <v xml:space="preserve">remove_modifier = buy_influence_drain_0120
</v>
      </c>
    </row>
    <row r="33" spans="1:6" x14ac:dyDescent="0.45">
      <c r="A33">
        <v>135</v>
      </c>
      <c r="C33" t="str">
        <f t="shared" si="0"/>
        <v>buy_influence_drain_0135</v>
      </c>
      <c r="E33" s="13" t="str">
        <f t="shared" si="1"/>
        <v xml:space="preserve">buy_influence_drain_0135 = {
    icon = "gfx/interface/icons/modifiers/mod_country_previous_deals.dds"
    static_resource_minerals_add = -135
    static_resource_energy_add = -135
}
</v>
      </c>
      <c r="F33" t="str">
        <f t="shared" si="2"/>
        <v xml:space="preserve">remove_modifier = buy_influence_drain_0135
</v>
      </c>
    </row>
    <row r="34" spans="1:6" x14ac:dyDescent="0.45">
      <c r="A34">
        <v>140</v>
      </c>
      <c r="C34" t="str">
        <f t="shared" si="0"/>
        <v>buy_influence_drain_0140</v>
      </c>
      <c r="E34" s="13" t="str">
        <f t="shared" si="1"/>
        <v xml:space="preserve">buy_influence_drain_0140 = {
    icon = "gfx/interface/icons/modifiers/mod_country_previous_deals.dds"
    static_resource_minerals_add = -140
    static_resource_energy_add = -140
}
</v>
      </c>
      <c r="F34" t="str">
        <f t="shared" si="2"/>
        <v xml:space="preserve">remove_modifier = buy_influence_drain_0140
</v>
      </c>
    </row>
    <row r="35" spans="1:6" x14ac:dyDescent="0.45">
      <c r="A35">
        <v>150</v>
      </c>
      <c r="C35" t="str">
        <f t="shared" si="0"/>
        <v>buy_influence_drain_0150</v>
      </c>
      <c r="E35" s="13" t="str">
        <f t="shared" si="1"/>
        <v xml:space="preserve">buy_influence_drain_0150 = {
    icon = "gfx/interface/icons/modifiers/mod_country_previous_deals.dds"
    static_resource_minerals_add = -150
    static_resource_energy_add = -150
}
</v>
      </c>
      <c r="F35" t="str">
        <f t="shared" si="2"/>
        <v xml:space="preserve">remove_modifier = buy_influence_drain_0150
</v>
      </c>
    </row>
    <row r="36" spans="1:6" x14ac:dyDescent="0.45">
      <c r="A36">
        <v>160</v>
      </c>
      <c r="C36" t="str">
        <f t="shared" si="0"/>
        <v>buy_influence_drain_0160</v>
      </c>
      <c r="E36" s="13" t="str">
        <f t="shared" si="1"/>
        <v xml:space="preserve">buy_influence_drain_0160 = {
    icon = "gfx/interface/icons/modifiers/mod_country_previous_deals.dds"
    static_resource_minerals_add = -160
    static_resource_energy_add = -160
}
</v>
      </c>
      <c r="F36" t="str">
        <f t="shared" si="2"/>
        <v xml:space="preserve">remove_modifier = buy_influence_drain_0160
</v>
      </c>
    </row>
    <row r="37" spans="1:6" x14ac:dyDescent="0.45">
      <c r="A37">
        <v>180</v>
      </c>
      <c r="C37" t="str">
        <f t="shared" si="0"/>
        <v>buy_influence_drain_0180</v>
      </c>
      <c r="E37" s="13" t="str">
        <f t="shared" si="1"/>
        <v xml:space="preserve">buy_influence_drain_0180 = {
    icon = "gfx/interface/icons/modifiers/mod_country_previous_deals.dds"
    static_resource_minerals_add = -180
    static_resource_energy_add = -180
}
</v>
      </c>
      <c r="F37" t="str">
        <f t="shared" si="2"/>
        <v xml:space="preserve">remove_modifier = buy_influence_drain_0180
</v>
      </c>
    </row>
    <row r="38" spans="1:6" x14ac:dyDescent="0.45">
      <c r="A38">
        <v>200</v>
      </c>
      <c r="C38" t="str">
        <f t="shared" si="0"/>
        <v>buy_influence_drain_0200</v>
      </c>
      <c r="E38" s="13" t="str">
        <f t="shared" si="1"/>
        <v xml:space="preserve">buy_influence_drain_0200 = {
    icon = "gfx/interface/icons/modifiers/mod_country_previous_deals.dds"
    static_resource_minerals_add = -200
    static_resource_energy_add = -200
}
</v>
      </c>
      <c r="F38" t="str">
        <f t="shared" si="2"/>
        <v xml:space="preserve">remove_modifier = buy_influence_drain_0200
</v>
      </c>
    </row>
    <row r="39" spans="1:6" x14ac:dyDescent="0.45">
      <c r="A39">
        <v>210</v>
      </c>
      <c r="C39" t="str">
        <f t="shared" si="0"/>
        <v>buy_influence_drain_0210</v>
      </c>
      <c r="E39" s="13" t="str">
        <f t="shared" si="1"/>
        <v xml:space="preserve">buy_influence_drain_0210 = {
    icon = "gfx/interface/icons/modifiers/mod_country_previous_deals.dds"
    static_resource_minerals_add = -210
    static_resource_energy_add = -210
}
</v>
      </c>
      <c r="F39" t="str">
        <f t="shared" si="2"/>
        <v xml:space="preserve">remove_modifier = buy_influence_drain_0210
</v>
      </c>
    </row>
    <row r="40" spans="1:6" x14ac:dyDescent="0.45">
      <c r="A40">
        <v>240</v>
      </c>
      <c r="C40" t="str">
        <f t="shared" si="0"/>
        <v>buy_influence_drain_0240</v>
      </c>
      <c r="E40" s="13" t="str">
        <f t="shared" si="1"/>
        <v xml:space="preserve">buy_influence_drain_0240 = {
    icon = "gfx/interface/icons/modifiers/mod_country_previous_deals.dds"
    static_resource_minerals_add = -240
    static_resource_energy_add = -240
}
</v>
      </c>
      <c r="F40" t="str">
        <f t="shared" si="2"/>
        <v xml:space="preserve">remove_modifier = buy_influence_drain_0240
</v>
      </c>
    </row>
    <row r="41" spans="1:6" x14ac:dyDescent="0.45">
      <c r="A41">
        <v>250</v>
      </c>
      <c r="C41" t="str">
        <f t="shared" si="0"/>
        <v>buy_influence_drain_0250</v>
      </c>
      <c r="E41" s="13" t="str">
        <f t="shared" si="1"/>
        <v xml:space="preserve">buy_influence_drain_0250 = {
    icon = "gfx/interface/icons/modifiers/mod_country_previous_deals.dds"
    static_resource_minerals_add = -250
    static_resource_energy_add = -250
}
</v>
      </c>
      <c r="F41" t="str">
        <f t="shared" si="2"/>
        <v xml:space="preserve">remove_modifier = buy_influence_drain_0250
</v>
      </c>
    </row>
    <row r="42" spans="1:6" x14ac:dyDescent="0.45">
      <c r="A42">
        <v>270</v>
      </c>
      <c r="C42" t="str">
        <f t="shared" si="0"/>
        <v>buy_influence_drain_0270</v>
      </c>
      <c r="E42" s="13" t="str">
        <f t="shared" si="1"/>
        <v xml:space="preserve">buy_influence_drain_0270 = {
    icon = "gfx/interface/icons/modifiers/mod_country_previous_deals.dds"
    static_resource_minerals_add = -270
    static_resource_energy_add = -270
}
</v>
      </c>
      <c r="F42" t="str">
        <f t="shared" si="2"/>
        <v xml:space="preserve">remove_modifier = buy_influence_drain_0270
</v>
      </c>
    </row>
    <row r="43" spans="1:6" x14ac:dyDescent="0.45">
      <c r="A43">
        <v>280</v>
      </c>
      <c r="C43" t="str">
        <f t="shared" si="0"/>
        <v>buy_influence_drain_0280</v>
      </c>
      <c r="E43" s="13" t="str">
        <f t="shared" si="1"/>
        <v xml:space="preserve">buy_influence_drain_0280 = {
    icon = "gfx/interface/icons/modifiers/mod_country_previous_deals.dds"
    static_resource_minerals_add = -280
    static_resource_energy_add = -280
}
</v>
      </c>
      <c r="F43" t="str">
        <f t="shared" si="2"/>
        <v xml:space="preserve">remove_modifier = buy_influence_drain_0280
</v>
      </c>
    </row>
    <row r="44" spans="1:6" x14ac:dyDescent="0.45">
      <c r="A44">
        <v>300</v>
      </c>
      <c r="C44" t="str">
        <f t="shared" si="0"/>
        <v>buy_influence_drain_0300</v>
      </c>
      <c r="E44" s="13" t="str">
        <f t="shared" si="1"/>
        <v xml:space="preserve">buy_influence_drain_0300 = {
    icon = "gfx/interface/icons/modifiers/mod_country_previous_deals.dds"
    static_resource_minerals_add = -300
    static_resource_energy_add = -300
}
</v>
      </c>
      <c r="F44" t="str">
        <f t="shared" si="2"/>
        <v xml:space="preserve">remove_modifier = buy_influence_drain_0300
</v>
      </c>
    </row>
    <row r="45" spans="1:6" x14ac:dyDescent="0.45">
      <c r="A45">
        <v>320</v>
      </c>
      <c r="C45" t="str">
        <f t="shared" si="0"/>
        <v>buy_influence_drain_0320</v>
      </c>
      <c r="E45" s="13" t="str">
        <f t="shared" si="1"/>
        <v xml:space="preserve">buy_influence_drain_0320 = {
    icon = "gfx/interface/icons/modifiers/mod_country_previous_deals.dds"
    static_resource_minerals_add = -320
    static_resource_energy_add = -320
}
</v>
      </c>
      <c r="F45" t="str">
        <f t="shared" si="2"/>
        <v xml:space="preserve">remove_modifier = buy_influence_drain_0320
</v>
      </c>
    </row>
    <row r="46" spans="1:6" x14ac:dyDescent="0.45">
      <c r="A46">
        <v>350</v>
      </c>
      <c r="C46" t="str">
        <f t="shared" si="0"/>
        <v>buy_influence_drain_0350</v>
      </c>
      <c r="E46" s="13" t="str">
        <f t="shared" si="1"/>
        <v xml:space="preserve">buy_influence_drain_0350 = {
    icon = "gfx/interface/icons/modifiers/mod_country_previous_deals.dds"
    static_resource_minerals_add = -350
    static_resource_energy_add = -350
}
</v>
      </c>
      <c r="F46" t="str">
        <f t="shared" si="2"/>
        <v xml:space="preserve">remove_modifier = buy_influence_drain_0350
</v>
      </c>
    </row>
    <row r="47" spans="1:6" x14ac:dyDescent="0.45">
      <c r="A47">
        <v>360</v>
      </c>
      <c r="C47" t="str">
        <f t="shared" si="0"/>
        <v>buy_influence_drain_0360</v>
      </c>
      <c r="E47" s="13" t="str">
        <f t="shared" si="1"/>
        <v xml:space="preserve">buy_influence_drain_0360 = {
    icon = "gfx/interface/icons/modifiers/mod_country_previous_deals.dds"
    static_resource_minerals_add = -360
    static_resource_energy_add = -360
}
</v>
      </c>
      <c r="F47" t="str">
        <f t="shared" si="2"/>
        <v xml:space="preserve">remove_modifier = buy_influence_drain_0360
</v>
      </c>
    </row>
    <row r="48" spans="1:6" x14ac:dyDescent="0.45">
      <c r="A48">
        <v>400</v>
      </c>
      <c r="C48" t="str">
        <f t="shared" si="0"/>
        <v>buy_influence_drain_0400</v>
      </c>
      <c r="E48" s="13" t="str">
        <f t="shared" si="1"/>
        <v xml:space="preserve">buy_influence_drain_0400 = {
    icon = "gfx/interface/icons/modifiers/mod_country_previous_deals.dds"
    static_resource_minerals_add = -400
    static_resource_energy_add = -400
}
</v>
      </c>
      <c r="F48" t="str">
        <f t="shared" si="2"/>
        <v xml:space="preserve">remove_modifier = buy_influence_drain_0400
</v>
      </c>
    </row>
    <row r="49" spans="1:6" x14ac:dyDescent="0.45">
      <c r="A49">
        <v>420</v>
      </c>
      <c r="C49" t="str">
        <f t="shared" si="0"/>
        <v>buy_influence_drain_0420</v>
      </c>
      <c r="E49" s="13" t="str">
        <f t="shared" si="1"/>
        <v xml:space="preserve">buy_influence_drain_0420 = {
    icon = "gfx/interface/icons/modifiers/mod_country_previous_deals.dds"
    static_resource_minerals_add = -420
    static_resource_energy_add = -420
}
</v>
      </c>
      <c r="F49" t="str">
        <f t="shared" si="2"/>
        <v xml:space="preserve">remove_modifier = buy_influence_drain_0420
</v>
      </c>
    </row>
    <row r="50" spans="1:6" x14ac:dyDescent="0.45">
      <c r="A50">
        <v>450</v>
      </c>
      <c r="C50" t="str">
        <f t="shared" si="0"/>
        <v>buy_influence_drain_0450</v>
      </c>
      <c r="E50" s="13" t="str">
        <f t="shared" si="1"/>
        <v xml:space="preserve">buy_influence_drain_0450 = {
    icon = "gfx/interface/icons/modifiers/mod_country_previous_deals.dds"
    static_resource_minerals_add = -450
    static_resource_energy_add = -450
}
</v>
      </c>
      <c r="F50" t="str">
        <f t="shared" si="2"/>
        <v xml:space="preserve">remove_modifier = buy_influence_drain_0450
</v>
      </c>
    </row>
    <row r="51" spans="1:6" x14ac:dyDescent="0.45">
      <c r="A51">
        <v>480</v>
      </c>
      <c r="C51" t="str">
        <f t="shared" si="0"/>
        <v>buy_influence_drain_0480</v>
      </c>
      <c r="E51" s="13" t="str">
        <f t="shared" si="1"/>
        <v xml:space="preserve">buy_influence_drain_0480 = {
    icon = "gfx/interface/icons/modifiers/mod_country_previous_deals.dds"
    static_resource_minerals_add = -480
    static_resource_energy_add = -480
}
</v>
      </c>
      <c r="F51" t="str">
        <f t="shared" si="2"/>
        <v xml:space="preserve">remove_modifier = buy_influence_drain_0480
</v>
      </c>
    </row>
    <row r="52" spans="1:6" x14ac:dyDescent="0.45">
      <c r="A52">
        <v>500</v>
      </c>
      <c r="C52" t="str">
        <f t="shared" si="0"/>
        <v>buy_influence_drain_0500</v>
      </c>
      <c r="E52" s="13" t="str">
        <f t="shared" si="1"/>
        <v xml:space="preserve">buy_influence_drain_0500 = {
    icon = "gfx/interface/icons/modifiers/mod_country_previous_deals.dds"
    static_resource_minerals_add = -500
    static_resource_energy_add = -500
}
</v>
      </c>
      <c r="F52" t="str">
        <f t="shared" si="2"/>
        <v xml:space="preserve">remove_modifier = buy_influence_drain_0500
</v>
      </c>
    </row>
    <row r="53" spans="1:6" x14ac:dyDescent="0.45">
      <c r="A53">
        <v>540</v>
      </c>
      <c r="C53" t="str">
        <f t="shared" si="0"/>
        <v>buy_influence_drain_0540</v>
      </c>
      <c r="E53" s="13" t="str">
        <f t="shared" si="1"/>
        <v xml:space="preserve">buy_influence_drain_0540 = {
    icon = "gfx/interface/icons/modifiers/mod_country_previous_deals.dds"
    static_resource_minerals_add = -540
    static_resource_energy_add = -540
}
</v>
      </c>
      <c r="F53" t="str">
        <f t="shared" si="2"/>
        <v xml:space="preserve">remove_modifier = buy_influence_drain_0540
</v>
      </c>
    </row>
    <row r="54" spans="1:6" x14ac:dyDescent="0.45">
      <c r="A54">
        <v>560</v>
      </c>
      <c r="C54" t="str">
        <f t="shared" si="0"/>
        <v>buy_influence_drain_0560</v>
      </c>
      <c r="E54" s="13" t="str">
        <f t="shared" si="1"/>
        <v xml:space="preserve">buy_influence_drain_0560 = {
    icon = "gfx/interface/icons/modifiers/mod_country_previous_deals.dds"
    static_resource_minerals_add = -560
    static_resource_energy_add = -560
}
</v>
      </c>
      <c r="F54" t="str">
        <f t="shared" si="2"/>
        <v xml:space="preserve">remove_modifier = buy_influence_drain_0560
</v>
      </c>
    </row>
    <row r="55" spans="1:6" x14ac:dyDescent="0.45">
      <c r="A55">
        <v>600</v>
      </c>
      <c r="C55" t="str">
        <f t="shared" si="0"/>
        <v>buy_influence_drain_0600</v>
      </c>
      <c r="E55" s="13" t="str">
        <f t="shared" si="1"/>
        <v xml:space="preserve">buy_influence_drain_0600 = {
    icon = "gfx/interface/icons/modifiers/mod_country_previous_deals.dds"
    static_resource_minerals_add = -600
    static_resource_energy_add = -600
}
</v>
      </c>
      <c r="F55" t="str">
        <f t="shared" si="2"/>
        <v xml:space="preserve">remove_modifier = buy_influence_drain_0600
</v>
      </c>
    </row>
    <row r="56" spans="1:6" x14ac:dyDescent="0.45">
      <c r="A56">
        <v>640</v>
      </c>
      <c r="C56" t="str">
        <f t="shared" si="0"/>
        <v>buy_influence_drain_0640</v>
      </c>
      <c r="E56" s="13" t="str">
        <f t="shared" si="1"/>
        <v xml:space="preserve">buy_influence_drain_0640 = {
    icon = "gfx/interface/icons/modifiers/mod_country_previous_deals.dds"
    static_resource_minerals_add = -640
    static_resource_energy_add = -640
}
</v>
      </c>
      <c r="F56" t="str">
        <f t="shared" si="2"/>
        <v xml:space="preserve">remove_modifier = buy_influence_drain_0640
</v>
      </c>
    </row>
    <row r="57" spans="1:6" x14ac:dyDescent="0.45">
      <c r="A57">
        <v>700</v>
      </c>
      <c r="C57" t="str">
        <f t="shared" si="0"/>
        <v>buy_influence_drain_0700</v>
      </c>
      <c r="E57" s="13" t="str">
        <f t="shared" si="1"/>
        <v xml:space="preserve">buy_influence_drain_0700 = {
    icon = "gfx/interface/icons/modifiers/mod_country_previous_deals.dds"
    static_resource_minerals_add = -700
    static_resource_energy_add = -700
}
</v>
      </c>
      <c r="F57" t="str">
        <f t="shared" si="2"/>
        <v xml:space="preserve">remove_modifier = buy_influence_drain_0700
</v>
      </c>
    </row>
    <row r="58" spans="1:6" x14ac:dyDescent="0.45">
      <c r="A58">
        <v>720</v>
      </c>
      <c r="C58" t="str">
        <f t="shared" si="0"/>
        <v>buy_influence_drain_0720</v>
      </c>
      <c r="E58" s="13" t="str">
        <f t="shared" si="1"/>
        <v xml:space="preserve">buy_influence_drain_0720 = {
    icon = "gfx/interface/icons/modifiers/mod_country_previous_deals.dds"
    static_resource_minerals_add = -720
    static_resource_energy_add = -720
}
</v>
      </c>
      <c r="F58" t="str">
        <f t="shared" si="2"/>
        <v xml:space="preserve">remove_modifier = buy_influence_drain_0720
</v>
      </c>
    </row>
    <row r="59" spans="1:6" x14ac:dyDescent="0.45">
      <c r="A59">
        <v>750</v>
      </c>
      <c r="C59" t="str">
        <f t="shared" si="0"/>
        <v>buy_influence_drain_0750</v>
      </c>
      <c r="E59" s="13" t="str">
        <f t="shared" si="1"/>
        <v xml:space="preserve">buy_influence_drain_0750 = {
    icon = "gfx/interface/icons/modifiers/mod_country_previous_deals.dds"
    static_resource_minerals_add = -750
    static_resource_energy_add = -750
}
</v>
      </c>
      <c r="F59" t="str">
        <f t="shared" si="2"/>
        <v xml:space="preserve">remove_modifier = buy_influence_drain_0750
</v>
      </c>
    </row>
    <row r="60" spans="1:6" x14ac:dyDescent="0.45">
      <c r="A60">
        <v>800</v>
      </c>
      <c r="C60" t="str">
        <f t="shared" si="0"/>
        <v>buy_influence_drain_0800</v>
      </c>
      <c r="E60" s="13" t="str">
        <f t="shared" si="1"/>
        <v xml:space="preserve">buy_influence_drain_0800 = {
    icon = "gfx/interface/icons/modifiers/mod_country_previous_deals.dds"
    static_resource_minerals_add = -800
    static_resource_energy_add = -800
}
</v>
      </c>
      <c r="F60" t="str">
        <f t="shared" si="2"/>
        <v xml:space="preserve">remove_modifier = buy_influence_drain_0800
</v>
      </c>
    </row>
    <row r="61" spans="1:6" x14ac:dyDescent="0.45">
      <c r="A61">
        <v>900</v>
      </c>
      <c r="C61" t="str">
        <f t="shared" si="0"/>
        <v>buy_influence_drain_0900</v>
      </c>
      <c r="E61" s="13" t="str">
        <f t="shared" si="1"/>
        <v xml:space="preserve">buy_influence_drain_0900 = {
    icon = "gfx/interface/icons/modifiers/mod_country_previous_deals.dds"
    static_resource_minerals_add = -900
    static_resource_energy_add = -900
}
</v>
      </c>
      <c r="F61" t="str">
        <f t="shared" si="2"/>
        <v xml:space="preserve">remove_modifier = buy_influence_drain_0900
</v>
      </c>
    </row>
    <row r="62" spans="1:6" x14ac:dyDescent="0.45">
      <c r="A62">
        <v>1000</v>
      </c>
      <c r="C62" t="str">
        <f t="shared" si="0"/>
        <v>buy_influence_drain_1000</v>
      </c>
      <c r="E62" s="13" t="str">
        <f t="shared" si="1"/>
        <v xml:space="preserve">buy_influence_drain_1000 = {
    icon = "gfx/interface/icons/modifiers/mod_country_previous_deals.dds"
    static_resource_minerals_add = -1000
    static_resource_energy_add = -1000
}
</v>
      </c>
      <c r="F62" t="str">
        <f t="shared" si="2"/>
        <v xml:space="preserve">remove_modifier = buy_influence_drain_1000
</v>
      </c>
    </row>
    <row r="63" spans="1:6" x14ac:dyDescent="0.45">
      <c r="A63">
        <v>1050</v>
      </c>
      <c r="C63" t="str">
        <f t="shared" si="0"/>
        <v>buy_influence_drain_1050</v>
      </c>
      <c r="E63" s="13" t="str">
        <f t="shared" si="1"/>
        <v xml:space="preserve">buy_influence_drain_1050 = {
    icon = "gfx/interface/icons/modifiers/mod_country_previous_deals.dds"
    static_resource_minerals_add = -1050
    static_resource_energy_add = -1050
}
</v>
      </c>
      <c r="F63" t="str">
        <f t="shared" si="2"/>
        <v xml:space="preserve">remove_modifier = buy_influence_drain_1050
</v>
      </c>
    </row>
    <row r="64" spans="1:6" x14ac:dyDescent="0.45">
      <c r="A64">
        <v>1200</v>
      </c>
      <c r="C64" t="str">
        <f t="shared" si="0"/>
        <v>buy_influence_drain_1200</v>
      </c>
      <c r="E64" s="13" t="str">
        <f t="shared" si="1"/>
        <v xml:space="preserve">buy_influence_drain_1200 = {
    icon = "gfx/interface/icons/modifiers/mod_country_previous_deals.dds"
    static_resource_minerals_add = -1200
    static_resource_energy_add = -1200
}
</v>
      </c>
      <c r="F64" t="str">
        <f t="shared" si="2"/>
        <v xml:space="preserve">remove_modifier = buy_influence_drain_1200
</v>
      </c>
    </row>
    <row r="65" spans="1:6" x14ac:dyDescent="0.45">
      <c r="A65">
        <v>1350</v>
      </c>
      <c r="C65" t="str">
        <f t="shared" si="0"/>
        <v>buy_influence_drain_1350</v>
      </c>
      <c r="E65" s="13" t="str">
        <f t="shared" si="1"/>
        <v xml:space="preserve">buy_influence_drain_1350 = {
    icon = "gfx/interface/icons/modifiers/mod_country_previous_deals.dds"
    static_resource_minerals_add = -1350
    static_resource_energy_add = -1350
}
</v>
      </c>
      <c r="F65" t="str">
        <f t="shared" si="2"/>
        <v xml:space="preserve">remove_modifier = buy_influence_drain_1350
</v>
      </c>
    </row>
    <row r="66" spans="1:6" x14ac:dyDescent="0.45">
      <c r="A66">
        <v>1400</v>
      </c>
      <c r="C66" t="str">
        <f t="shared" si="0"/>
        <v>buy_influence_drain_1400</v>
      </c>
      <c r="E66" s="13" t="str">
        <f t="shared" si="1"/>
        <v xml:space="preserve">buy_influence_drain_1400 = {
    icon = "gfx/interface/icons/modifiers/mod_country_previous_deals.dds"
    static_resource_minerals_add = -1400
    static_resource_energy_add = -1400
}
</v>
      </c>
      <c r="F66" t="str">
        <f t="shared" si="2"/>
        <v xml:space="preserve">remove_modifier = buy_influence_drain_1400
</v>
      </c>
    </row>
    <row r="67" spans="1:6" x14ac:dyDescent="0.45">
      <c r="A67">
        <v>1500</v>
      </c>
      <c r="C67" t="str">
        <f t="shared" si="0"/>
        <v>buy_influence_drain_1500</v>
      </c>
      <c r="E67" s="13" t="str">
        <f t="shared" si="1"/>
        <v xml:space="preserve">buy_influence_drain_1500 = {
    icon = "gfx/interface/icons/modifiers/mod_country_previous_deals.dds"
    static_resource_minerals_add = -1500
    static_resource_energy_add = -1500
}
</v>
      </c>
      <c r="F67" t="str">
        <f t="shared" si="2"/>
        <v xml:space="preserve">remove_modifier = buy_influence_drain_1500
</v>
      </c>
    </row>
    <row r="68" spans="1:6" x14ac:dyDescent="0.45">
      <c r="A68">
        <v>1600</v>
      </c>
      <c r="C68" t="str">
        <f t="shared" ref="C68:C70" si="3">"buy_influence_drain_" &amp; IF(A68&lt;100,"00",IF(A68&lt;1000,"0","")) &amp; A68</f>
        <v>buy_influence_drain_1600</v>
      </c>
      <c r="E68" s="13" t="str">
        <f t="shared" ref="E68:E70" si="4">C68&amp; " = {
    icon = " &amp; """" &amp; "gfx/interface/icons/modifiers/mod_country_previous_deals.dds" &amp; """" &amp; "
    static_resource_minerals_add = -" &amp; A68 &amp; "
    static_resource_energy_add = -" &amp; A68 &amp; "
}
"</f>
        <v xml:space="preserve">buy_influence_drain_1600 = {
    icon = "gfx/interface/icons/modifiers/mod_country_previous_deals.dds"
    static_resource_minerals_add = -1600
    static_resource_energy_add = -1600
}
</v>
      </c>
      <c r="F68" t="str">
        <f t="shared" ref="F68:F70" si="5">"remove_modifier = " &amp; C68 &amp; "
"</f>
        <v xml:space="preserve">remove_modifier = buy_influence_drain_1600
</v>
      </c>
    </row>
    <row r="69" spans="1:6" x14ac:dyDescent="0.45">
      <c r="A69">
        <v>1800</v>
      </c>
      <c r="C69" t="str">
        <f t="shared" si="3"/>
        <v>buy_influence_drain_1800</v>
      </c>
      <c r="E69" s="13" t="str">
        <f t="shared" si="4"/>
        <v xml:space="preserve">buy_influence_drain_1800 = {
    icon = "gfx/interface/icons/modifiers/mod_country_previous_deals.dds"
    static_resource_minerals_add = -1800
    static_resource_energy_add = -1800
}
</v>
      </c>
      <c r="F69" t="str">
        <f t="shared" si="5"/>
        <v xml:space="preserve">remove_modifier = buy_influence_drain_1800
</v>
      </c>
    </row>
    <row r="70" spans="1:6" x14ac:dyDescent="0.45">
      <c r="A70">
        <v>2000</v>
      </c>
      <c r="C70" t="str">
        <f t="shared" si="3"/>
        <v>buy_influence_drain_2000</v>
      </c>
      <c r="E70" s="13" t="str">
        <f t="shared" si="4"/>
        <v xml:space="preserve">buy_influence_drain_2000 = {
    icon = "gfx/interface/icons/modifiers/mod_country_previous_deals.dds"
    static_resource_minerals_add = -2000
    static_resource_energy_add = -2000
}
</v>
      </c>
      <c r="F70" t="str">
        <f t="shared" si="5"/>
        <v xml:space="preserve">remove_modifier = buy_influence_drain_2000
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Main</vt:lpstr>
      <vt:lpstr>CodeGen</vt:lpstr>
      <vt:lpstr>base_cost_single_col</vt:lpstr>
      <vt:lpstr>base_costs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Jowett</dc:creator>
  <cp:lastModifiedBy>Jon Jowett</cp:lastModifiedBy>
  <dcterms:created xsi:type="dcterms:W3CDTF">2018-08-21T14:43:52Z</dcterms:created>
  <dcterms:modified xsi:type="dcterms:W3CDTF">2018-08-21T18:14:39Z</dcterms:modified>
</cp:coreProperties>
</file>